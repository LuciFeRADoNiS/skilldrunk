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ryo Karsilastirma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ull" sheetId="3" state="visible" r:id="rId3"/>
    <sheet xmlns:r="http://schemas.openxmlformats.org/officeDocument/2006/relationships" name="B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  <sz val="12"/>
    </font>
    <font>
      <b val="1"/>
    </font>
    <font>
      <b val="1"/>
      <color rgb="00FFFFFF"/>
    </font>
    <font>
      <i val="1"/>
      <color rgb="00666666"/>
    </font>
    <font>
      <color rgb="0033333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A9D08E"/>
      </patternFill>
    </fill>
    <fill>
      <patternFill patternType="solid">
        <fgColor rgb="00DCE6F1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4B084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6" fillId="0" borderId="0" pivotButton="0" quotePrefix="0" xfId="0"/>
    <xf numFmtId="0" fontId="5" fillId="5" borderId="0" applyAlignment="1" pivotButton="0" quotePrefix="0" xfId="0">
      <alignment horizontal="center"/>
    </xf>
    <xf numFmtId="0" fontId="4" fillId="4" borderId="0" pivotButton="0" quotePrefix="0" xfId="0"/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4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right"/>
    </xf>
    <xf numFmtId="0" fontId="3" fillId="8" borderId="0" pivotButton="0" quotePrefix="0" xfId="0"/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49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" fontId="0" fillId="0" borderId="1" pivotButton="0" quotePrefix="0" xfId="0"/>
    <xf numFmtId="164" fontId="0" fillId="0" borderId="1" pivotButton="0" quotePrefix="0" xfId="0"/>
    <xf numFmtId="0" fontId="0" fillId="6" borderId="1" applyAlignment="1" pivotButton="0" quotePrefix="0" xfId="0">
      <alignment horizontal="center"/>
    </xf>
    <xf numFmtId="1" fontId="0" fillId="6" borderId="1" pivotButton="0" quotePrefix="0" xfId="0"/>
    <xf numFmtId="164" fontId="0" fillId="6" borderId="1" pivotButton="0" quotePrefix="0" xfId="0"/>
    <xf numFmtId="0" fontId="3" fillId="7" borderId="0" pivotButton="0" quotePrefix="0" xfId="0"/>
    <xf numFmtId="0" fontId="4" fillId="8" borderId="0" pivotButton="0" quotePrefix="0" xfId="0"/>
    <xf numFmtId="164" fontId="4" fillId="9" borderId="0" pivotButton="0" quotePrefix="0" xfId="0"/>
    <xf numFmtId="49" fontId="4" fillId="9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RasyoLog Finansal Model — 3 Senaryo Karsilastirma</t>
        </is>
      </c>
    </row>
    <row r="2">
      <c r="A2" s="2" t="inlineStr">
        <is>
          <t>Toplanti: 2026-06-08 14:00 | Hazirlik: 2026-05-25 | Sahibi: Ozgur GUR</t>
        </is>
      </c>
    </row>
    <row r="4">
      <c r="A4" s="3" t="inlineStr">
        <is>
          <t>Metrik</t>
        </is>
      </c>
      <c r="B4" s="3" t="inlineStr">
        <is>
          <t>Base</t>
        </is>
      </c>
      <c r="C4" s="3" t="inlineStr">
        <is>
          <t>Bull</t>
        </is>
      </c>
      <c r="D4" s="3" t="inlineStr">
        <is>
          <t>Bear</t>
        </is>
      </c>
    </row>
    <row r="5">
      <c r="A5" s="4" t="inlineStr">
        <is>
          <t>Hedef Musteri (Ay 24)</t>
        </is>
      </c>
      <c r="B5" s="5">
        <f>Base!B5</f>
        <v/>
      </c>
      <c r="C5" s="5">
        <f>Bull!B5</f>
        <v/>
      </c>
      <c r="D5" s="5">
        <f>Bear!B5</f>
        <v/>
      </c>
    </row>
    <row r="6">
      <c r="A6" s="4" t="inlineStr">
        <is>
          <t>ARPU (EUR/ay)</t>
        </is>
      </c>
      <c r="B6" s="6">
        <f>Base!B6</f>
        <v/>
      </c>
      <c r="C6" s="6">
        <f>Bull!B6</f>
        <v/>
      </c>
      <c r="D6" s="6">
        <f>Bear!B6</f>
        <v/>
      </c>
    </row>
    <row r="7">
      <c r="A7" s="4" t="inlineStr">
        <is>
          <t>Aylik Churn</t>
        </is>
      </c>
      <c r="B7" s="7">
        <f>Base!B7</f>
        <v/>
      </c>
      <c r="C7" s="7">
        <f>Bull!B7</f>
        <v/>
      </c>
      <c r="D7" s="7">
        <f>Bear!B7</f>
        <v/>
      </c>
    </row>
    <row r="8">
      <c r="A8" s="4" t="inlineStr">
        <is>
          <t>CAC (EUR)</t>
        </is>
      </c>
      <c r="B8" s="6">
        <f>Base!B8</f>
        <v/>
      </c>
      <c r="C8" s="6">
        <f>Bull!B8</f>
        <v/>
      </c>
      <c r="D8" s="6">
        <f>Bear!B8</f>
        <v/>
      </c>
    </row>
    <row r="9">
      <c r="A9" s="4" t="inlineStr">
        <is>
          <t>Brut Marj</t>
        </is>
      </c>
      <c r="B9" s="8">
        <f>Base!B9</f>
        <v/>
      </c>
      <c r="C9" s="8">
        <f>Bull!B9</f>
        <v/>
      </c>
      <c r="D9" s="8">
        <f>Bear!B9</f>
        <v/>
      </c>
    </row>
    <row r="10">
      <c r="A10" s="9" t="inlineStr">
        <is>
          <t>--- SONUC METRIKLERI ---</t>
        </is>
      </c>
    </row>
    <row r="11">
      <c r="A11" s="4" t="inlineStr">
        <is>
          <t>2026 EOY ARR (EUR)</t>
        </is>
      </c>
      <c r="B11" s="6">
        <f>Base!B41</f>
        <v/>
      </c>
      <c r="C11" s="6">
        <f>Bull!B41</f>
        <v/>
      </c>
      <c r="D11" s="6">
        <f>Bear!B41</f>
        <v/>
      </c>
    </row>
    <row r="12">
      <c r="A12" s="4" t="inlineStr">
        <is>
          <t>2027 EOY ARR (EUR)</t>
        </is>
      </c>
      <c r="B12" s="6">
        <f>Base!B42</f>
        <v/>
      </c>
      <c r="C12" s="6">
        <f>Bull!B42</f>
        <v/>
      </c>
      <c r="D12" s="6">
        <f>Bear!B42</f>
        <v/>
      </c>
    </row>
    <row r="13">
      <c r="A13" s="4" t="inlineStr">
        <is>
          <t>Toplam 24-Ay Gelir (EUR)</t>
        </is>
      </c>
      <c r="B13" s="6">
        <f>Base!B43</f>
        <v/>
      </c>
      <c r="C13" s="6">
        <f>Bull!B43</f>
        <v/>
      </c>
      <c r="D13" s="6">
        <f>Bear!B43</f>
        <v/>
      </c>
    </row>
    <row r="14">
      <c r="A14" s="4" t="inlineStr">
        <is>
          <t>Toplam OPEX (EUR)</t>
        </is>
      </c>
      <c r="B14" s="6">
        <f>Base!B44</f>
        <v/>
      </c>
      <c r="C14" s="6">
        <f>Bull!B44</f>
        <v/>
      </c>
      <c r="D14" s="6">
        <f>Bear!B44</f>
        <v/>
      </c>
    </row>
    <row r="15">
      <c r="A15" s="4" t="inlineStr">
        <is>
          <t>Toplam CAC Yatirimi (EUR)</t>
        </is>
      </c>
      <c r="B15" s="6">
        <f>Base!B45</f>
        <v/>
      </c>
      <c r="C15" s="6">
        <f>Bull!B45</f>
        <v/>
      </c>
      <c r="D15" s="6">
        <f>Bear!B45</f>
        <v/>
      </c>
    </row>
    <row r="16">
      <c r="A16" s="4" t="inlineStr">
        <is>
          <t>Toplam Brut Kar (EUR)</t>
        </is>
      </c>
      <c r="B16" s="6">
        <f>Base!B46</f>
        <v/>
      </c>
      <c r="C16" s="6">
        <f>Bull!B46</f>
        <v/>
      </c>
      <c r="D16" s="6">
        <f>Bear!B46</f>
        <v/>
      </c>
    </row>
    <row r="17">
      <c r="A17" s="4" t="inlineStr">
        <is>
          <t>Kumulatif EBITDA Ay 24 (EUR)</t>
        </is>
      </c>
      <c r="B17" s="6">
        <f>Base!B47</f>
        <v/>
      </c>
      <c r="C17" s="6">
        <f>Bull!B47</f>
        <v/>
      </c>
      <c r="D17" s="6">
        <f>Bear!B47</f>
        <v/>
      </c>
    </row>
    <row r="18">
      <c r="A18" s="4" t="inlineStr">
        <is>
          <t>Maksimum Cash Burn (EUR)</t>
        </is>
      </c>
      <c r="B18" s="6">
        <f>Base!B48</f>
        <v/>
      </c>
      <c r="C18" s="6">
        <f>Bull!B48</f>
        <v/>
      </c>
      <c r="D18" s="6">
        <f>Bear!B48</f>
        <v/>
      </c>
    </row>
    <row r="19">
      <c r="A19" s="4" t="inlineStr">
        <is>
          <t>Break-Even Ayi</t>
        </is>
      </c>
      <c r="B19" s="10">
        <f>Base!B49</f>
        <v/>
      </c>
      <c r="C19" s="10">
        <f>Bull!B49</f>
        <v/>
      </c>
      <c r="D19" s="10">
        <f>Bear!B49</f>
        <v/>
      </c>
    </row>
    <row r="20">
      <c r="A20" s="4" t="inlineStr">
        <is>
          <t>Cash-Positive Ayi</t>
        </is>
      </c>
      <c r="B20" s="10">
        <f>Base!B50</f>
        <v/>
      </c>
      <c r="C20" s="10">
        <f>Bull!B50</f>
        <v/>
      </c>
      <c r="D20" s="10">
        <f>Bear!B50</f>
        <v/>
      </c>
    </row>
    <row r="22">
      <c r="A22" s="11" t="inlineStr">
        <is>
          <t>Yorum Notlari</t>
        </is>
      </c>
    </row>
    <row r="23" ht="32" customHeight="1">
      <c r="A23" s="12" t="inlineStr">
        <is>
          <t>• Base senaryo Fuat'in 5-12 mailindeki hedefe karsilik geliyor: 250 musteri x EUR500 = EUR1.5M ARR 2027 EOY.</t>
        </is>
      </c>
    </row>
    <row r="24" ht="32" customHeight="1">
      <c r="A24" s="12" t="inlineStr">
        <is>
          <t>• Bull senaryo S-curve buyume (yatirimci-ready): EUR2.5M+ ARR potansiyeli, hizli launch + dusuk churn.</t>
        </is>
      </c>
    </row>
    <row r="25" ht="32" customHeight="1">
      <c r="A25" s="12" t="inlineStr">
        <is>
          <t>• Bear senaryo: Adnan carve-out reddi + musteri transfer riski + yuksek CAC. EUR720K ARR — break-even disinda.</t>
        </is>
      </c>
    </row>
    <row r="26" ht="32" customHeight="1">
      <c r="A26" s="12" t="inlineStr">
        <is>
          <t>• Tum senaryolarda OPEX EUR700K/yil combined sabit (Movetech + Rasyotek her biri EUR350K).</t>
        </is>
      </c>
    </row>
    <row r="27" ht="32" customHeight="1">
      <c r="A27" s="12" t="inlineStr">
        <is>
          <t>• Brut marj senaryolara gore degisir: Base 80%, Bull 85% (volume discount tedarikci), Bear 75% (operasyonel verimsizlik).</t>
        </is>
      </c>
    </row>
    <row r="28" ht="32" customHeight="1">
      <c r="A28" s="12" t="inlineStr">
        <is>
          <t>• Break-even Base'de ~ay 18-22 araliginda; Bull ay 14-16; Bear 24 ay icinde gerceklesmeyebilir.</t>
        </is>
      </c>
    </row>
    <row r="29" ht="32" customHeight="1">
      <c r="A29" s="12" t="inlineStr">
        <is>
          <t>• 8 Haziran toplantisinda Erdem/Sedat'a Bull senaryoyu sun, ama Bear'i de masada tut (red-team olarak).</t>
        </is>
      </c>
    </row>
  </sheetData>
  <mergeCells count="10">
    <mergeCell ref="B10:D10"/>
    <mergeCell ref="A1:D1"/>
    <mergeCell ref="A23:D23"/>
    <mergeCell ref="A27:D27"/>
    <mergeCell ref="A26:D26"/>
    <mergeCell ref="A29:D29"/>
    <mergeCell ref="A25:D25"/>
    <mergeCell ref="A24:D24"/>
    <mergeCell ref="A2:D2"/>
    <mergeCell ref="A28:D28"/>
  </mergeCells>
  <conditionalFormatting sqref="B12:D12">
    <cfRule type="cellIs" priority="1" operator="greaterThanOrEqual" dxfId="0">
      <formula>1400000</formula>
    </cfRule>
    <cfRule type="cellIs" priority="2" operator="lessThan" dxfId="1">
      <formula>1400000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3" t="inlineStr">
        <is>
          <t>RasyoLog Finansal Model — Senaryo: Base</t>
        </is>
      </c>
    </row>
    <row r="2">
      <c r="A2" s="14" t="inlineStr">
        <is>
          <t>Base: Linear ramp 0→250 müşteri, €500 ARPU, %5 churn, €1500 CAC</t>
        </is>
      </c>
    </row>
    <row r="4">
      <c r="A4" s="15" t="inlineStr">
        <is>
          <t>Parametreler</t>
        </is>
      </c>
    </row>
    <row r="5">
      <c r="A5" s="4" t="inlineStr">
        <is>
          <t>Hedef Müşteri (Ay 24)</t>
        </is>
      </c>
      <c r="B5" s="16" t="n">
        <v>250</v>
      </c>
    </row>
    <row r="6">
      <c r="A6" s="4" t="inlineStr">
        <is>
          <t>ARPU (€/ay/müşteri)</t>
        </is>
      </c>
      <c r="B6" s="17" t="n">
        <v>500</v>
      </c>
    </row>
    <row r="7">
      <c r="A7" s="4" t="inlineStr">
        <is>
          <t>Aylık Churn Oranı</t>
        </is>
      </c>
      <c r="B7" s="18" t="n">
        <v>0.05</v>
      </c>
    </row>
    <row r="8">
      <c r="A8" s="4" t="inlineStr">
        <is>
          <t>CAC (€/müşteri)</t>
        </is>
      </c>
      <c r="B8" s="17" t="n">
        <v>1500</v>
      </c>
    </row>
    <row r="9">
      <c r="A9" s="4" t="inlineStr">
        <is>
          <t>Brüt Marj (SaaS hosting + destek sonrası)</t>
        </is>
      </c>
      <c r="B9" s="19" t="n">
        <v>0.8</v>
      </c>
    </row>
    <row r="10">
      <c r="A10" s="4" t="inlineStr">
        <is>
          <t>OPEX Aylık (€) — sabit, €700K/yıl combined</t>
        </is>
      </c>
      <c r="B10" s="17" t="n">
        <v>58333.33333333334</v>
      </c>
    </row>
    <row r="11">
      <c r="A11" s="4" t="inlineStr">
        <is>
          <t>Ramp Tipi</t>
        </is>
      </c>
      <c r="B11" s="20" t="inlineStr">
        <is>
          <t>linear</t>
        </is>
      </c>
    </row>
    <row r="13" ht="32" customHeight="1">
      <c r="A13" s="21" t="inlineStr">
        <is>
          <t>Ay</t>
        </is>
      </c>
      <c r="B13" s="21" t="inlineStr">
        <is>
          <t>Aktif Müşteri
(Ay Sonu)</t>
        </is>
      </c>
      <c r="C13" s="21" t="inlineStr">
        <is>
          <t>Churn'lu
Müşteri</t>
        </is>
      </c>
      <c r="D13" s="21" t="inlineStr">
        <is>
          <t>Yeni Edinilen
Müşteri</t>
        </is>
      </c>
      <c r="E13" s="21" t="inlineStr">
        <is>
          <t>Gelir (€)</t>
        </is>
      </c>
      <c r="F13" s="21" t="inlineStr">
        <is>
          <t>Kayıp MRR
(Churn €)</t>
        </is>
      </c>
      <c r="G13" s="21" t="inlineStr">
        <is>
          <t>Brüt Kar (€)</t>
        </is>
      </c>
      <c r="H13" s="21" t="inlineStr">
        <is>
          <t>CAC Maliyeti (€)</t>
        </is>
      </c>
      <c r="I13" s="21" t="inlineStr">
        <is>
          <t>OPEX (€)</t>
        </is>
      </c>
      <c r="J13" s="21" t="inlineStr">
        <is>
          <t>EBITDA (€)</t>
        </is>
      </c>
      <c r="K13" s="21" t="inlineStr">
        <is>
          <t>Kümülatif Cash (€)</t>
        </is>
      </c>
    </row>
    <row r="14">
      <c r="A14" s="22" t="n">
        <v>1</v>
      </c>
      <c r="B14" s="23">
        <f>ROUND($B$5*A14/24,0)</f>
        <v/>
      </c>
      <c r="C14" s="23" t="n">
        <v>0</v>
      </c>
      <c r="D14" s="23">
        <f>B14+C14</f>
        <v/>
      </c>
      <c r="E14" s="24">
        <f>B14/2*$B$6</f>
        <v/>
      </c>
      <c r="F14" s="24">
        <f>C14*$B$6</f>
        <v/>
      </c>
      <c r="G14" s="24">
        <f>E14*$B$9</f>
        <v/>
      </c>
      <c r="H14" s="24">
        <f>D14*$B$8</f>
        <v/>
      </c>
      <c r="I14" s="24">
        <f>$B$10</f>
        <v/>
      </c>
      <c r="J14" s="24">
        <f>G14-H14-I14</f>
        <v/>
      </c>
      <c r="K14" s="24">
        <f>J14</f>
        <v/>
      </c>
    </row>
    <row r="15">
      <c r="A15" s="25" t="n">
        <v>2</v>
      </c>
      <c r="B15" s="26">
        <f>ROUND($B$5*A15/24,0)</f>
        <v/>
      </c>
      <c r="C15" s="26">
        <f>ROUND(B14*$B$7,0)</f>
        <v/>
      </c>
      <c r="D15" s="26">
        <f>MAX(B15-B14+C15,0)</f>
        <v/>
      </c>
      <c r="E15" s="27">
        <f>(B14+B15)/2*$B$6</f>
        <v/>
      </c>
      <c r="F15" s="27">
        <f>C15*$B$6</f>
        <v/>
      </c>
      <c r="G15" s="27">
        <f>E15*$B$9</f>
        <v/>
      </c>
      <c r="H15" s="27">
        <f>D15*$B$8</f>
        <v/>
      </c>
      <c r="I15" s="27">
        <f>$B$10</f>
        <v/>
      </c>
      <c r="J15" s="27">
        <f>G15-H15-I15</f>
        <v/>
      </c>
      <c r="K15" s="27">
        <f>K14+J15</f>
        <v/>
      </c>
    </row>
    <row r="16">
      <c r="A16" s="22" t="n">
        <v>3</v>
      </c>
      <c r="B16" s="23">
        <f>ROUND($B$5*A16/24,0)</f>
        <v/>
      </c>
      <c r="C16" s="23">
        <f>ROUND(B15*$B$7,0)</f>
        <v/>
      </c>
      <c r="D16" s="23">
        <f>MAX(B16-B15+C16,0)</f>
        <v/>
      </c>
      <c r="E16" s="24">
        <f>(B15+B16)/2*$B$6</f>
        <v/>
      </c>
      <c r="F16" s="24">
        <f>C16*$B$6</f>
        <v/>
      </c>
      <c r="G16" s="24">
        <f>E16*$B$9</f>
        <v/>
      </c>
      <c r="H16" s="24">
        <f>D16*$B$8</f>
        <v/>
      </c>
      <c r="I16" s="24">
        <f>$B$10</f>
        <v/>
      </c>
      <c r="J16" s="24">
        <f>G16-H16-I16</f>
        <v/>
      </c>
      <c r="K16" s="24">
        <f>K15+J16</f>
        <v/>
      </c>
    </row>
    <row r="17">
      <c r="A17" s="25" t="n">
        <v>4</v>
      </c>
      <c r="B17" s="26">
        <f>ROUND($B$5*A17/24,0)</f>
        <v/>
      </c>
      <c r="C17" s="26">
        <f>ROUND(B16*$B$7,0)</f>
        <v/>
      </c>
      <c r="D17" s="26">
        <f>MAX(B17-B16+C17,0)</f>
        <v/>
      </c>
      <c r="E17" s="27">
        <f>(B16+B17)/2*$B$6</f>
        <v/>
      </c>
      <c r="F17" s="27">
        <f>C17*$B$6</f>
        <v/>
      </c>
      <c r="G17" s="27">
        <f>E17*$B$9</f>
        <v/>
      </c>
      <c r="H17" s="27">
        <f>D17*$B$8</f>
        <v/>
      </c>
      <c r="I17" s="27">
        <f>$B$10</f>
        <v/>
      </c>
      <c r="J17" s="27">
        <f>G17-H17-I17</f>
        <v/>
      </c>
      <c r="K17" s="27">
        <f>K16+J17</f>
        <v/>
      </c>
    </row>
    <row r="18">
      <c r="A18" s="22" t="n">
        <v>5</v>
      </c>
      <c r="B18" s="23">
        <f>ROUND($B$5*A18/24,0)</f>
        <v/>
      </c>
      <c r="C18" s="23">
        <f>ROUND(B17*$B$7,0)</f>
        <v/>
      </c>
      <c r="D18" s="23">
        <f>MAX(B18-B17+C18,0)</f>
        <v/>
      </c>
      <c r="E18" s="24">
        <f>(B17+B18)/2*$B$6</f>
        <v/>
      </c>
      <c r="F18" s="24">
        <f>C18*$B$6</f>
        <v/>
      </c>
      <c r="G18" s="24">
        <f>E18*$B$9</f>
        <v/>
      </c>
      <c r="H18" s="24">
        <f>D18*$B$8</f>
        <v/>
      </c>
      <c r="I18" s="24">
        <f>$B$10</f>
        <v/>
      </c>
      <c r="J18" s="24">
        <f>G18-H18-I18</f>
        <v/>
      </c>
      <c r="K18" s="24">
        <f>K17+J18</f>
        <v/>
      </c>
    </row>
    <row r="19">
      <c r="A19" s="25" t="n">
        <v>6</v>
      </c>
      <c r="B19" s="26">
        <f>ROUND($B$5*A19/24,0)</f>
        <v/>
      </c>
      <c r="C19" s="26">
        <f>ROUND(B18*$B$7,0)</f>
        <v/>
      </c>
      <c r="D19" s="26">
        <f>MAX(B19-B18+C19,0)</f>
        <v/>
      </c>
      <c r="E19" s="27">
        <f>(B18+B19)/2*$B$6</f>
        <v/>
      </c>
      <c r="F19" s="27">
        <f>C19*$B$6</f>
        <v/>
      </c>
      <c r="G19" s="27">
        <f>E19*$B$9</f>
        <v/>
      </c>
      <c r="H19" s="27">
        <f>D19*$B$8</f>
        <v/>
      </c>
      <c r="I19" s="27">
        <f>$B$10</f>
        <v/>
      </c>
      <c r="J19" s="27">
        <f>G19-H19-I19</f>
        <v/>
      </c>
      <c r="K19" s="27">
        <f>K18+J19</f>
        <v/>
      </c>
    </row>
    <row r="20">
      <c r="A20" s="22" t="n">
        <v>7</v>
      </c>
      <c r="B20" s="23">
        <f>ROUND($B$5*A20/24,0)</f>
        <v/>
      </c>
      <c r="C20" s="23">
        <f>ROUND(B19*$B$7,0)</f>
        <v/>
      </c>
      <c r="D20" s="23">
        <f>MAX(B20-B19+C20,0)</f>
        <v/>
      </c>
      <c r="E20" s="24">
        <f>(B19+B20)/2*$B$6</f>
        <v/>
      </c>
      <c r="F20" s="24">
        <f>C20*$B$6</f>
        <v/>
      </c>
      <c r="G20" s="24">
        <f>E20*$B$9</f>
        <v/>
      </c>
      <c r="H20" s="24">
        <f>D20*$B$8</f>
        <v/>
      </c>
      <c r="I20" s="24">
        <f>$B$10</f>
        <v/>
      </c>
      <c r="J20" s="24">
        <f>G20-H20-I20</f>
        <v/>
      </c>
      <c r="K20" s="24">
        <f>K19+J20</f>
        <v/>
      </c>
    </row>
    <row r="21">
      <c r="A21" s="25" t="n">
        <v>8</v>
      </c>
      <c r="B21" s="26">
        <f>ROUND($B$5*A21/24,0)</f>
        <v/>
      </c>
      <c r="C21" s="26">
        <f>ROUND(B20*$B$7,0)</f>
        <v/>
      </c>
      <c r="D21" s="26">
        <f>MAX(B21-B20+C21,0)</f>
        <v/>
      </c>
      <c r="E21" s="27">
        <f>(B20+B21)/2*$B$6</f>
        <v/>
      </c>
      <c r="F21" s="27">
        <f>C21*$B$6</f>
        <v/>
      </c>
      <c r="G21" s="27">
        <f>E21*$B$9</f>
        <v/>
      </c>
      <c r="H21" s="27">
        <f>D21*$B$8</f>
        <v/>
      </c>
      <c r="I21" s="27">
        <f>$B$10</f>
        <v/>
      </c>
      <c r="J21" s="27">
        <f>G21-H21-I21</f>
        <v/>
      </c>
      <c r="K21" s="27">
        <f>K20+J21</f>
        <v/>
      </c>
    </row>
    <row r="22">
      <c r="A22" s="22" t="n">
        <v>9</v>
      </c>
      <c r="B22" s="23">
        <f>ROUND($B$5*A22/24,0)</f>
        <v/>
      </c>
      <c r="C22" s="23">
        <f>ROUND(B21*$B$7,0)</f>
        <v/>
      </c>
      <c r="D22" s="23">
        <f>MAX(B22-B21+C22,0)</f>
        <v/>
      </c>
      <c r="E22" s="24">
        <f>(B21+B22)/2*$B$6</f>
        <v/>
      </c>
      <c r="F22" s="24">
        <f>C22*$B$6</f>
        <v/>
      </c>
      <c r="G22" s="24">
        <f>E22*$B$9</f>
        <v/>
      </c>
      <c r="H22" s="24">
        <f>D22*$B$8</f>
        <v/>
      </c>
      <c r="I22" s="24">
        <f>$B$10</f>
        <v/>
      </c>
      <c r="J22" s="24">
        <f>G22-H22-I22</f>
        <v/>
      </c>
      <c r="K22" s="24">
        <f>K21+J22</f>
        <v/>
      </c>
    </row>
    <row r="23">
      <c r="A23" s="25" t="n">
        <v>10</v>
      </c>
      <c r="B23" s="26">
        <f>ROUND($B$5*A23/24,0)</f>
        <v/>
      </c>
      <c r="C23" s="26">
        <f>ROUND(B22*$B$7,0)</f>
        <v/>
      </c>
      <c r="D23" s="26">
        <f>MAX(B23-B22+C23,0)</f>
        <v/>
      </c>
      <c r="E23" s="27">
        <f>(B22+B23)/2*$B$6</f>
        <v/>
      </c>
      <c r="F23" s="27">
        <f>C23*$B$6</f>
        <v/>
      </c>
      <c r="G23" s="27">
        <f>E23*$B$9</f>
        <v/>
      </c>
      <c r="H23" s="27">
        <f>D23*$B$8</f>
        <v/>
      </c>
      <c r="I23" s="27">
        <f>$B$10</f>
        <v/>
      </c>
      <c r="J23" s="27">
        <f>G23-H23-I23</f>
        <v/>
      </c>
      <c r="K23" s="27">
        <f>K22+J23</f>
        <v/>
      </c>
    </row>
    <row r="24">
      <c r="A24" s="22" t="n">
        <v>11</v>
      </c>
      <c r="B24" s="23">
        <f>ROUND($B$5*A24/24,0)</f>
        <v/>
      </c>
      <c r="C24" s="23">
        <f>ROUND(B23*$B$7,0)</f>
        <v/>
      </c>
      <c r="D24" s="23">
        <f>MAX(B24-B23+C24,0)</f>
        <v/>
      </c>
      <c r="E24" s="24">
        <f>(B23+B24)/2*$B$6</f>
        <v/>
      </c>
      <c r="F24" s="24">
        <f>C24*$B$6</f>
        <v/>
      </c>
      <c r="G24" s="24">
        <f>E24*$B$9</f>
        <v/>
      </c>
      <c r="H24" s="24">
        <f>D24*$B$8</f>
        <v/>
      </c>
      <c r="I24" s="24">
        <f>$B$10</f>
        <v/>
      </c>
      <c r="J24" s="24">
        <f>G24-H24-I24</f>
        <v/>
      </c>
      <c r="K24" s="24">
        <f>K23+J24</f>
        <v/>
      </c>
    </row>
    <row r="25">
      <c r="A25" s="25" t="n">
        <v>12</v>
      </c>
      <c r="B25" s="26">
        <f>ROUND($B$5*A25/24,0)</f>
        <v/>
      </c>
      <c r="C25" s="26">
        <f>ROUND(B24*$B$7,0)</f>
        <v/>
      </c>
      <c r="D25" s="26">
        <f>MAX(B25-B24+C25,0)</f>
        <v/>
      </c>
      <c r="E25" s="27">
        <f>(B24+B25)/2*$B$6</f>
        <v/>
      </c>
      <c r="F25" s="27">
        <f>C25*$B$6</f>
        <v/>
      </c>
      <c r="G25" s="27">
        <f>E25*$B$9</f>
        <v/>
      </c>
      <c r="H25" s="27">
        <f>D25*$B$8</f>
        <v/>
      </c>
      <c r="I25" s="27">
        <f>$B$10</f>
        <v/>
      </c>
      <c r="J25" s="27">
        <f>G25-H25-I25</f>
        <v/>
      </c>
      <c r="K25" s="27">
        <f>K24+J25</f>
        <v/>
      </c>
    </row>
    <row r="26">
      <c r="A26" s="22" t="n">
        <v>13</v>
      </c>
      <c r="B26" s="23">
        <f>ROUND($B$5*A26/24,0)</f>
        <v/>
      </c>
      <c r="C26" s="23">
        <f>ROUND(B25*$B$7,0)</f>
        <v/>
      </c>
      <c r="D26" s="23">
        <f>MAX(B26-B25+C26,0)</f>
        <v/>
      </c>
      <c r="E26" s="24">
        <f>(B25+B26)/2*$B$6</f>
        <v/>
      </c>
      <c r="F26" s="24">
        <f>C26*$B$6</f>
        <v/>
      </c>
      <c r="G26" s="24">
        <f>E26*$B$9</f>
        <v/>
      </c>
      <c r="H26" s="24">
        <f>D26*$B$8</f>
        <v/>
      </c>
      <c r="I26" s="24">
        <f>$B$10</f>
        <v/>
      </c>
      <c r="J26" s="24">
        <f>G26-H26-I26</f>
        <v/>
      </c>
      <c r="K26" s="24">
        <f>K25+J26</f>
        <v/>
      </c>
    </row>
    <row r="27">
      <c r="A27" s="25" t="n">
        <v>14</v>
      </c>
      <c r="B27" s="26">
        <f>ROUND($B$5*A27/24,0)</f>
        <v/>
      </c>
      <c r="C27" s="26">
        <f>ROUND(B26*$B$7,0)</f>
        <v/>
      </c>
      <c r="D27" s="26">
        <f>MAX(B27-B26+C27,0)</f>
        <v/>
      </c>
      <c r="E27" s="27">
        <f>(B26+B27)/2*$B$6</f>
        <v/>
      </c>
      <c r="F27" s="27">
        <f>C27*$B$6</f>
        <v/>
      </c>
      <c r="G27" s="27">
        <f>E27*$B$9</f>
        <v/>
      </c>
      <c r="H27" s="27">
        <f>D27*$B$8</f>
        <v/>
      </c>
      <c r="I27" s="27">
        <f>$B$10</f>
        <v/>
      </c>
      <c r="J27" s="27">
        <f>G27-H27-I27</f>
        <v/>
      </c>
      <c r="K27" s="27">
        <f>K26+J27</f>
        <v/>
      </c>
    </row>
    <row r="28">
      <c r="A28" s="22" t="n">
        <v>15</v>
      </c>
      <c r="B28" s="23">
        <f>ROUND($B$5*A28/24,0)</f>
        <v/>
      </c>
      <c r="C28" s="23">
        <f>ROUND(B27*$B$7,0)</f>
        <v/>
      </c>
      <c r="D28" s="23">
        <f>MAX(B28-B27+C28,0)</f>
        <v/>
      </c>
      <c r="E28" s="24">
        <f>(B27+B28)/2*$B$6</f>
        <v/>
      </c>
      <c r="F28" s="24">
        <f>C28*$B$6</f>
        <v/>
      </c>
      <c r="G28" s="24">
        <f>E28*$B$9</f>
        <v/>
      </c>
      <c r="H28" s="24">
        <f>D28*$B$8</f>
        <v/>
      </c>
      <c r="I28" s="24">
        <f>$B$10</f>
        <v/>
      </c>
      <c r="J28" s="24">
        <f>G28-H28-I28</f>
        <v/>
      </c>
      <c r="K28" s="24">
        <f>K27+J28</f>
        <v/>
      </c>
    </row>
    <row r="29">
      <c r="A29" s="25" t="n">
        <v>16</v>
      </c>
      <c r="B29" s="26">
        <f>ROUND($B$5*A29/24,0)</f>
        <v/>
      </c>
      <c r="C29" s="26">
        <f>ROUND(B28*$B$7,0)</f>
        <v/>
      </c>
      <c r="D29" s="26">
        <f>MAX(B29-B28+C29,0)</f>
        <v/>
      </c>
      <c r="E29" s="27">
        <f>(B28+B29)/2*$B$6</f>
        <v/>
      </c>
      <c r="F29" s="27">
        <f>C29*$B$6</f>
        <v/>
      </c>
      <c r="G29" s="27">
        <f>E29*$B$9</f>
        <v/>
      </c>
      <c r="H29" s="27">
        <f>D29*$B$8</f>
        <v/>
      </c>
      <c r="I29" s="27">
        <f>$B$10</f>
        <v/>
      </c>
      <c r="J29" s="27">
        <f>G29-H29-I29</f>
        <v/>
      </c>
      <c r="K29" s="27">
        <f>K28+J29</f>
        <v/>
      </c>
    </row>
    <row r="30">
      <c r="A30" s="22" t="n">
        <v>17</v>
      </c>
      <c r="B30" s="23">
        <f>ROUND($B$5*A30/24,0)</f>
        <v/>
      </c>
      <c r="C30" s="23">
        <f>ROUND(B29*$B$7,0)</f>
        <v/>
      </c>
      <c r="D30" s="23">
        <f>MAX(B30-B29+C30,0)</f>
        <v/>
      </c>
      <c r="E30" s="24">
        <f>(B29+B30)/2*$B$6</f>
        <v/>
      </c>
      <c r="F30" s="24">
        <f>C30*$B$6</f>
        <v/>
      </c>
      <c r="G30" s="24">
        <f>E30*$B$9</f>
        <v/>
      </c>
      <c r="H30" s="24">
        <f>D30*$B$8</f>
        <v/>
      </c>
      <c r="I30" s="24">
        <f>$B$10</f>
        <v/>
      </c>
      <c r="J30" s="24">
        <f>G30-H30-I30</f>
        <v/>
      </c>
      <c r="K30" s="24">
        <f>K29+J30</f>
        <v/>
      </c>
    </row>
    <row r="31">
      <c r="A31" s="25" t="n">
        <v>18</v>
      </c>
      <c r="B31" s="26">
        <f>ROUND($B$5*A31/24,0)</f>
        <v/>
      </c>
      <c r="C31" s="26">
        <f>ROUND(B30*$B$7,0)</f>
        <v/>
      </c>
      <c r="D31" s="26">
        <f>MAX(B31-B30+C31,0)</f>
        <v/>
      </c>
      <c r="E31" s="27">
        <f>(B30+B31)/2*$B$6</f>
        <v/>
      </c>
      <c r="F31" s="27">
        <f>C31*$B$6</f>
        <v/>
      </c>
      <c r="G31" s="27">
        <f>E31*$B$9</f>
        <v/>
      </c>
      <c r="H31" s="27">
        <f>D31*$B$8</f>
        <v/>
      </c>
      <c r="I31" s="27">
        <f>$B$10</f>
        <v/>
      </c>
      <c r="J31" s="27">
        <f>G31-H31-I31</f>
        <v/>
      </c>
      <c r="K31" s="27">
        <f>K30+J31</f>
        <v/>
      </c>
    </row>
    <row r="32">
      <c r="A32" s="22" t="n">
        <v>19</v>
      </c>
      <c r="B32" s="23">
        <f>ROUND($B$5*A32/24,0)</f>
        <v/>
      </c>
      <c r="C32" s="23">
        <f>ROUND(B31*$B$7,0)</f>
        <v/>
      </c>
      <c r="D32" s="23">
        <f>MAX(B32-B31+C32,0)</f>
        <v/>
      </c>
      <c r="E32" s="24">
        <f>(B31+B32)/2*$B$6</f>
        <v/>
      </c>
      <c r="F32" s="24">
        <f>C32*$B$6</f>
        <v/>
      </c>
      <c r="G32" s="24">
        <f>E32*$B$9</f>
        <v/>
      </c>
      <c r="H32" s="24">
        <f>D32*$B$8</f>
        <v/>
      </c>
      <c r="I32" s="24">
        <f>$B$10</f>
        <v/>
      </c>
      <c r="J32" s="24">
        <f>G32-H32-I32</f>
        <v/>
      </c>
      <c r="K32" s="24">
        <f>K31+J32</f>
        <v/>
      </c>
    </row>
    <row r="33">
      <c r="A33" s="25" t="n">
        <v>20</v>
      </c>
      <c r="B33" s="26">
        <f>ROUND($B$5*A33/24,0)</f>
        <v/>
      </c>
      <c r="C33" s="26">
        <f>ROUND(B32*$B$7,0)</f>
        <v/>
      </c>
      <c r="D33" s="26">
        <f>MAX(B33-B32+C33,0)</f>
        <v/>
      </c>
      <c r="E33" s="27">
        <f>(B32+B33)/2*$B$6</f>
        <v/>
      </c>
      <c r="F33" s="27">
        <f>C33*$B$6</f>
        <v/>
      </c>
      <c r="G33" s="27">
        <f>E33*$B$9</f>
        <v/>
      </c>
      <c r="H33" s="27">
        <f>D33*$B$8</f>
        <v/>
      </c>
      <c r="I33" s="27">
        <f>$B$10</f>
        <v/>
      </c>
      <c r="J33" s="27">
        <f>G33-H33-I33</f>
        <v/>
      </c>
      <c r="K33" s="27">
        <f>K32+J33</f>
        <v/>
      </c>
    </row>
    <row r="34">
      <c r="A34" s="22" t="n">
        <v>21</v>
      </c>
      <c r="B34" s="23">
        <f>ROUND($B$5*A34/24,0)</f>
        <v/>
      </c>
      <c r="C34" s="23">
        <f>ROUND(B33*$B$7,0)</f>
        <v/>
      </c>
      <c r="D34" s="23">
        <f>MAX(B34-B33+C34,0)</f>
        <v/>
      </c>
      <c r="E34" s="24">
        <f>(B33+B34)/2*$B$6</f>
        <v/>
      </c>
      <c r="F34" s="24">
        <f>C34*$B$6</f>
        <v/>
      </c>
      <c r="G34" s="24">
        <f>E34*$B$9</f>
        <v/>
      </c>
      <c r="H34" s="24">
        <f>D34*$B$8</f>
        <v/>
      </c>
      <c r="I34" s="24">
        <f>$B$10</f>
        <v/>
      </c>
      <c r="J34" s="24">
        <f>G34-H34-I34</f>
        <v/>
      </c>
      <c r="K34" s="24">
        <f>K33+J34</f>
        <v/>
      </c>
    </row>
    <row r="35">
      <c r="A35" s="25" t="n">
        <v>22</v>
      </c>
      <c r="B35" s="26">
        <f>ROUND($B$5*A35/24,0)</f>
        <v/>
      </c>
      <c r="C35" s="26">
        <f>ROUND(B34*$B$7,0)</f>
        <v/>
      </c>
      <c r="D35" s="26">
        <f>MAX(B35-B34+C35,0)</f>
        <v/>
      </c>
      <c r="E35" s="27">
        <f>(B34+B35)/2*$B$6</f>
        <v/>
      </c>
      <c r="F35" s="27">
        <f>C35*$B$6</f>
        <v/>
      </c>
      <c r="G35" s="27">
        <f>E35*$B$9</f>
        <v/>
      </c>
      <c r="H35" s="27">
        <f>D35*$B$8</f>
        <v/>
      </c>
      <c r="I35" s="27">
        <f>$B$10</f>
        <v/>
      </c>
      <c r="J35" s="27">
        <f>G35-H35-I35</f>
        <v/>
      </c>
      <c r="K35" s="27">
        <f>K34+J35</f>
        <v/>
      </c>
    </row>
    <row r="36">
      <c r="A36" s="22" t="n">
        <v>23</v>
      </c>
      <c r="B36" s="23">
        <f>ROUND($B$5*A36/24,0)</f>
        <v/>
      </c>
      <c r="C36" s="23">
        <f>ROUND(B35*$B$7,0)</f>
        <v/>
      </c>
      <c r="D36" s="23">
        <f>MAX(B36-B35+C36,0)</f>
        <v/>
      </c>
      <c r="E36" s="24">
        <f>(B35+B36)/2*$B$6</f>
        <v/>
      </c>
      <c r="F36" s="24">
        <f>C36*$B$6</f>
        <v/>
      </c>
      <c r="G36" s="24">
        <f>E36*$B$9</f>
        <v/>
      </c>
      <c r="H36" s="24">
        <f>D36*$B$8</f>
        <v/>
      </c>
      <c r="I36" s="24">
        <f>$B$10</f>
        <v/>
      </c>
      <c r="J36" s="24">
        <f>G36-H36-I36</f>
        <v/>
      </c>
      <c r="K36" s="24">
        <f>K35+J36</f>
        <v/>
      </c>
    </row>
    <row r="37">
      <c r="A37" s="25" t="n">
        <v>24</v>
      </c>
      <c r="B37" s="26">
        <f>ROUND($B$5*A37/24,0)</f>
        <v/>
      </c>
      <c r="C37" s="26">
        <f>ROUND(B36*$B$7,0)</f>
        <v/>
      </c>
      <c r="D37" s="26">
        <f>MAX(B37-B36+C37,0)</f>
        <v/>
      </c>
      <c r="E37" s="27">
        <f>(B36+B37)/2*$B$6</f>
        <v/>
      </c>
      <c r="F37" s="27">
        <f>C37*$B$6</f>
        <v/>
      </c>
      <c r="G37" s="27">
        <f>E37*$B$9</f>
        <v/>
      </c>
      <c r="H37" s="27">
        <f>D37*$B$8</f>
        <v/>
      </c>
      <c r="I37" s="27">
        <f>$B$10</f>
        <v/>
      </c>
      <c r="J37" s="27">
        <f>G37-H37-I37</f>
        <v/>
      </c>
      <c r="K37" s="27">
        <f>K36+J37</f>
        <v/>
      </c>
    </row>
    <row r="40">
      <c r="A40" s="28" t="inlineStr">
        <is>
          <t>Özet Metrikler</t>
        </is>
      </c>
    </row>
    <row r="41">
      <c r="A41" s="29" t="inlineStr">
        <is>
          <t>2026 EOY ARR (Ay 12 × 12) (€)</t>
        </is>
      </c>
      <c r="B41" s="30">
        <f>B25*$B$6*12</f>
        <v/>
      </c>
    </row>
    <row r="42">
      <c r="A42" s="29" t="inlineStr">
        <is>
          <t>2027 EOY ARR (Ay 24 × 12) (€)</t>
        </is>
      </c>
      <c r="B42" s="30">
        <f>B37*$B$6*12</f>
        <v/>
      </c>
    </row>
    <row r="43">
      <c r="A43" s="29" t="inlineStr">
        <is>
          <t>Toplam 24-Ay Gelir (€)</t>
        </is>
      </c>
      <c r="B43" s="30">
        <f>SUM(E14:E37)</f>
        <v/>
      </c>
    </row>
    <row r="44">
      <c r="A44" s="29" t="inlineStr">
        <is>
          <t>Toplam OPEX (€)</t>
        </is>
      </c>
      <c r="B44" s="30">
        <f>SUM(I14:I37)</f>
        <v/>
      </c>
    </row>
    <row r="45">
      <c r="A45" s="29" t="inlineStr">
        <is>
          <t>Toplam CAC Yatırımı (€)</t>
        </is>
      </c>
      <c r="B45" s="30">
        <f>SUM(H14:H37)</f>
        <v/>
      </c>
    </row>
    <row r="46">
      <c r="A46" s="29" t="inlineStr">
        <is>
          <t>Toplam Brüt Kar (€)</t>
        </is>
      </c>
      <c r="B46" s="30">
        <f>SUM(G14:G37)</f>
        <v/>
      </c>
    </row>
    <row r="47">
      <c r="A47" s="29" t="inlineStr">
        <is>
          <t>Kümülatif EBITDA Ay 24 (€)</t>
        </is>
      </c>
      <c r="B47" s="30">
        <f>K37</f>
        <v/>
      </c>
    </row>
    <row r="48">
      <c r="A48" s="29" t="inlineStr">
        <is>
          <t>Maksimum Cash Burn / Trough (€)</t>
        </is>
      </c>
      <c r="B48" s="30">
        <f>MIN(K14:K37)</f>
        <v/>
      </c>
    </row>
    <row r="49">
      <c r="A49" s="29" t="inlineStr">
        <is>
          <t>Break-Even Ayı (ilk pozitif EBITDA)</t>
        </is>
      </c>
      <c r="B49" s="31">
        <f>IFERROR(INDEX(A14:A37,MATCH(TRUE,INDEX(J14:J37&gt;0,0),0)),"24 ay icinde yok")</f>
        <v/>
      </c>
    </row>
    <row r="50">
      <c r="A50" s="29" t="inlineStr">
        <is>
          <t>Cash-Positive Ayı (kümülatif cash &gt; 0)</t>
        </is>
      </c>
      <c r="B50" s="31">
        <f>IFERROR(INDEX(A14:A37,MATCH(TRUE,INDEX(K14:K37&gt;0,0),0)),"24 ay icinde yok")</f>
        <v/>
      </c>
    </row>
    <row r="53">
      <c r="A53" s="32" t="inlineStr">
        <is>
          <t>Notlar</t>
        </is>
      </c>
    </row>
    <row r="54">
      <c r="A54" s="2" t="inlineStr">
        <is>
          <t>1. Linear ramp: Aktif müşteri = Hedef × (Ay / 24). S-curve: sigmoid, ay 12'de inflection.</t>
        </is>
      </c>
    </row>
    <row r="55">
      <c r="A55" s="2" t="inlineStr">
        <is>
          <t>2. Gelir = Ortalama aktif müşteri (önceki ay + bu ay) / 2 × ARPU.</t>
        </is>
      </c>
    </row>
    <row r="56">
      <c r="A56" s="2" t="inlineStr">
        <is>
          <t>3. Yeni Edinilen = Net büyüme + Churn replacement (gross adds).</t>
        </is>
      </c>
    </row>
    <row r="57">
      <c r="A57" s="2" t="inlineStr">
        <is>
          <t>4. Brüt Kar = Gelir × Brüt marj (SaaS hosting + destek maliyetleri sonrası).</t>
        </is>
      </c>
    </row>
    <row r="58">
      <c r="A58" s="2" t="inlineStr">
        <is>
          <t>5. OPEX €700K/yıl combined (€350K Movetech + €350K Rasyotek) sabit dağıtım.</t>
        </is>
      </c>
    </row>
    <row r="59">
      <c r="A59" s="2" t="inlineStr">
        <is>
          <t>6. EBITDA = Brüt Kar - CAC - OPEX. Cash = kümülatif EBITDA.</t>
        </is>
      </c>
    </row>
    <row r="60">
      <c r="A60" s="2" t="inlineStr">
        <is>
          <t>7. Break-even = ilk pozitif aylık EBITDA. Cash-positive = kümülatif cash &gt; 0 ilk ay.</t>
        </is>
      </c>
    </row>
  </sheetData>
  <mergeCells count="9">
    <mergeCell ref="A58:K58"/>
    <mergeCell ref="A54:K54"/>
    <mergeCell ref="A55:K55"/>
    <mergeCell ref="A59:K59"/>
    <mergeCell ref="A57:K57"/>
    <mergeCell ref="A2:K2"/>
    <mergeCell ref="A60:K60"/>
    <mergeCell ref="A1:K1"/>
    <mergeCell ref="A56:K56"/>
  </mergeCells>
  <conditionalFormatting sqref="J14:J37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K14:K37">
    <cfRule type="cellIs" priority="3" operator="lessThan" dxfId="1">
      <formula>0</formula>
    </cfRule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3" t="inlineStr">
        <is>
          <t>RasyoLog Finansal Model — Senaryo: Bull</t>
        </is>
      </c>
    </row>
    <row r="2">
      <c r="A2" s="14" t="inlineStr">
        <is>
          <t>Bull: S-curve 350 müşteri, €600 ARPU, %3 churn, €1200 CAC</t>
        </is>
      </c>
    </row>
    <row r="4">
      <c r="A4" s="15" t="inlineStr">
        <is>
          <t>Parametreler</t>
        </is>
      </c>
    </row>
    <row r="5">
      <c r="A5" s="4" t="inlineStr">
        <is>
          <t>Hedef Müşteri (Ay 24)</t>
        </is>
      </c>
      <c r="B5" s="16" t="n">
        <v>350</v>
      </c>
    </row>
    <row r="6">
      <c r="A6" s="4" t="inlineStr">
        <is>
          <t>ARPU (€/ay/müşteri)</t>
        </is>
      </c>
      <c r="B6" s="17" t="n">
        <v>600</v>
      </c>
    </row>
    <row r="7">
      <c r="A7" s="4" t="inlineStr">
        <is>
          <t>Aylık Churn Oranı</t>
        </is>
      </c>
      <c r="B7" s="18" t="n">
        <v>0.03</v>
      </c>
    </row>
    <row r="8">
      <c r="A8" s="4" t="inlineStr">
        <is>
          <t>CAC (€/müşteri)</t>
        </is>
      </c>
      <c r="B8" s="17" t="n">
        <v>1200</v>
      </c>
    </row>
    <row r="9">
      <c r="A9" s="4" t="inlineStr">
        <is>
          <t>Brüt Marj (SaaS hosting + destek sonrası)</t>
        </is>
      </c>
      <c r="B9" s="19" t="n">
        <v>0.85</v>
      </c>
    </row>
    <row r="10">
      <c r="A10" s="4" t="inlineStr">
        <is>
          <t>OPEX Aylık (€) — sabit, €700K/yıl combined</t>
        </is>
      </c>
      <c r="B10" s="17" t="n">
        <v>58333.33333333334</v>
      </c>
    </row>
    <row r="11">
      <c r="A11" s="4" t="inlineStr">
        <is>
          <t>Ramp Tipi</t>
        </is>
      </c>
      <c r="B11" s="20" t="inlineStr">
        <is>
          <t>scurve</t>
        </is>
      </c>
    </row>
    <row r="13" ht="32" customHeight="1">
      <c r="A13" s="21" t="inlineStr">
        <is>
          <t>Ay</t>
        </is>
      </c>
      <c r="B13" s="21" t="inlineStr">
        <is>
          <t>Aktif Müşteri
(Ay Sonu)</t>
        </is>
      </c>
      <c r="C13" s="21" t="inlineStr">
        <is>
          <t>Churn'lu
Müşteri</t>
        </is>
      </c>
      <c r="D13" s="21" t="inlineStr">
        <is>
          <t>Yeni Edinilen
Müşteri</t>
        </is>
      </c>
      <c r="E13" s="21" t="inlineStr">
        <is>
          <t>Gelir (€)</t>
        </is>
      </c>
      <c r="F13" s="21" t="inlineStr">
        <is>
          <t>Kayıp MRR
(Churn €)</t>
        </is>
      </c>
      <c r="G13" s="21" t="inlineStr">
        <is>
          <t>Brüt Kar (€)</t>
        </is>
      </c>
      <c r="H13" s="21" t="inlineStr">
        <is>
          <t>CAC Maliyeti (€)</t>
        </is>
      </c>
      <c r="I13" s="21" t="inlineStr">
        <is>
          <t>OPEX (€)</t>
        </is>
      </c>
      <c r="J13" s="21" t="inlineStr">
        <is>
          <t>EBITDA (€)</t>
        </is>
      </c>
      <c r="K13" s="21" t="inlineStr">
        <is>
          <t>Kümülatif Cash (€)</t>
        </is>
      </c>
    </row>
    <row r="14">
      <c r="A14" s="22" t="n">
        <v>1</v>
      </c>
      <c r="B14" s="23">
        <f>ROUND($B$5/(1+EXP(-0.45*(A14-12))),0)</f>
        <v/>
      </c>
      <c r="C14" s="23" t="n">
        <v>0</v>
      </c>
      <c r="D14" s="23">
        <f>B14+C14</f>
        <v/>
      </c>
      <c r="E14" s="24">
        <f>B14/2*$B$6</f>
        <v/>
      </c>
      <c r="F14" s="24">
        <f>C14*$B$6</f>
        <v/>
      </c>
      <c r="G14" s="24">
        <f>E14*$B$9</f>
        <v/>
      </c>
      <c r="H14" s="24">
        <f>D14*$B$8</f>
        <v/>
      </c>
      <c r="I14" s="24">
        <f>$B$10</f>
        <v/>
      </c>
      <c r="J14" s="24">
        <f>G14-H14-I14</f>
        <v/>
      </c>
      <c r="K14" s="24">
        <f>J14</f>
        <v/>
      </c>
    </row>
    <row r="15">
      <c r="A15" s="25" t="n">
        <v>2</v>
      </c>
      <c r="B15" s="26">
        <f>ROUND($B$5/(1+EXP(-0.45*(A15-12))),0)</f>
        <v/>
      </c>
      <c r="C15" s="26">
        <f>ROUND(B14*$B$7,0)</f>
        <v/>
      </c>
      <c r="D15" s="26">
        <f>MAX(B15-B14+C15,0)</f>
        <v/>
      </c>
      <c r="E15" s="27">
        <f>(B14+B15)/2*$B$6</f>
        <v/>
      </c>
      <c r="F15" s="27">
        <f>C15*$B$6</f>
        <v/>
      </c>
      <c r="G15" s="27">
        <f>E15*$B$9</f>
        <v/>
      </c>
      <c r="H15" s="27">
        <f>D15*$B$8</f>
        <v/>
      </c>
      <c r="I15" s="27">
        <f>$B$10</f>
        <v/>
      </c>
      <c r="J15" s="27">
        <f>G15-H15-I15</f>
        <v/>
      </c>
      <c r="K15" s="27">
        <f>K14+J15</f>
        <v/>
      </c>
    </row>
    <row r="16">
      <c r="A16" s="22" t="n">
        <v>3</v>
      </c>
      <c r="B16" s="23">
        <f>ROUND($B$5/(1+EXP(-0.45*(A16-12))),0)</f>
        <v/>
      </c>
      <c r="C16" s="23">
        <f>ROUND(B15*$B$7,0)</f>
        <v/>
      </c>
      <c r="D16" s="23">
        <f>MAX(B16-B15+C16,0)</f>
        <v/>
      </c>
      <c r="E16" s="24">
        <f>(B15+B16)/2*$B$6</f>
        <v/>
      </c>
      <c r="F16" s="24">
        <f>C16*$B$6</f>
        <v/>
      </c>
      <c r="G16" s="24">
        <f>E16*$B$9</f>
        <v/>
      </c>
      <c r="H16" s="24">
        <f>D16*$B$8</f>
        <v/>
      </c>
      <c r="I16" s="24">
        <f>$B$10</f>
        <v/>
      </c>
      <c r="J16" s="24">
        <f>G16-H16-I16</f>
        <v/>
      </c>
      <c r="K16" s="24">
        <f>K15+J16</f>
        <v/>
      </c>
    </row>
    <row r="17">
      <c r="A17" s="25" t="n">
        <v>4</v>
      </c>
      <c r="B17" s="26">
        <f>ROUND($B$5/(1+EXP(-0.45*(A17-12))),0)</f>
        <v/>
      </c>
      <c r="C17" s="26">
        <f>ROUND(B16*$B$7,0)</f>
        <v/>
      </c>
      <c r="D17" s="26">
        <f>MAX(B17-B16+C17,0)</f>
        <v/>
      </c>
      <c r="E17" s="27">
        <f>(B16+B17)/2*$B$6</f>
        <v/>
      </c>
      <c r="F17" s="27">
        <f>C17*$B$6</f>
        <v/>
      </c>
      <c r="G17" s="27">
        <f>E17*$B$9</f>
        <v/>
      </c>
      <c r="H17" s="27">
        <f>D17*$B$8</f>
        <v/>
      </c>
      <c r="I17" s="27">
        <f>$B$10</f>
        <v/>
      </c>
      <c r="J17" s="27">
        <f>G17-H17-I17</f>
        <v/>
      </c>
      <c r="K17" s="27">
        <f>K16+J17</f>
        <v/>
      </c>
    </row>
    <row r="18">
      <c r="A18" s="22" t="n">
        <v>5</v>
      </c>
      <c r="B18" s="23">
        <f>ROUND($B$5/(1+EXP(-0.45*(A18-12))),0)</f>
        <v/>
      </c>
      <c r="C18" s="23">
        <f>ROUND(B17*$B$7,0)</f>
        <v/>
      </c>
      <c r="D18" s="23">
        <f>MAX(B18-B17+C18,0)</f>
        <v/>
      </c>
      <c r="E18" s="24">
        <f>(B17+B18)/2*$B$6</f>
        <v/>
      </c>
      <c r="F18" s="24">
        <f>C18*$B$6</f>
        <v/>
      </c>
      <c r="G18" s="24">
        <f>E18*$B$9</f>
        <v/>
      </c>
      <c r="H18" s="24">
        <f>D18*$B$8</f>
        <v/>
      </c>
      <c r="I18" s="24">
        <f>$B$10</f>
        <v/>
      </c>
      <c r="J18" s="24">
        <f>G18-H18-I18</f>
        <v/>
      </c>
      <c r="K18" s="24">
        <f>K17+J18</f>
        <v/>
      </c>
    </row>
    <row r="19">
      <c r="A19" s="25" t="n">
        <v>6</v>
      </c>
      <c r="B19" s="26">
        <f>ROUND($B$5/(1+EXP(-0.45*(A19-12))),0)</f>
        <v/>
      </c>
      <c r="C19" s="26">
        <f>ROUND(B18*$B$7,0)</f>
        <v/>
      </c>
      <c r="D19" s="26">
        <f>MAX(B19-B18+C19,0)</f>
        <v/>
      </c>
      <c r="E19" s="27">
        <f>(B18+B19)/2*$B$6</f>
        <v/>
      </c>
      <c r="F19" s="27">
        <f>C19*$B$6</f>
        <v/>
      </c>
      <c r="G19" s="27">
        <f>E19*$B$9</f>
        <v/>
      </c>
      <c r="H19" s="27">
        <f>D19*$B$8</f>
        <v/>
      </c>
      <c r="I19" s="27">
        <f>$B$10</f>
        <v/>
      </c>
      <c r="J19" s="27">
        <f>G19-H19-I19</f>
        <v/>
      </c>
      <c r="K19" s="27">
        <f>K18+J19</f>
        <v/>
      </c>
    </row>
    <row r="20">
      <c r="A20" s="22" t="n">
        <v>7</v>
      </c>
      <c r="B20" s="23">
        <f>ROUND($B$5/(1+EXP(-0.45*(A20-12))),0)</f>
        <v/>
      </c>
      <c r="C20" s="23">
        <f>ROUND(B19*$B$7,0)</f>
        <v/>
      </c>
      <c r="D20" s="23">
        <f>MAX(B20-B19+C20,0)</f>
        <v/>
      </c>
      <c r="E20" s="24">
        <f>(B19+B20)/2*$B$6</f>
        <v/>
      </c>
      <c r="F20" s="24">
        <f>C20*$B$6</f>
        <v/>
      </c>
      <c r="G20" s="24">
        <f>E20*$B$9</f>
        <v/>
      </c>
      <c r="H20" s="24">
        <f>D20*$B$8</f>
        <v/>
      </c>
      <c r="I20" s="24">
        <f>$B$10</f>
        <v/>
      </c>
      <c r="J20" s="24">
        <f>G20-H20-I20</f>
        <v/>
      </c>
      <c r="K20" s="24">
        <f>K19+J20</f>
        <v/>
      </c>
    </row>
    <row r="21">
      <c r="A21" s="25" t="n">
        <v>8</v>
      </c>
      <c r="B21" s="26">
        <f>ROUND($B$5/(1+EXP(-0.45*(A21-12))),0)</f>
        <v/>
      </c>
      <c r="C21" s="26">
        <f>ROUND(B20*$B$7,0)</f>
        <v/>
      </c>
      <c r="D21" s="26">
        <f>MAX(B21-B20+C21,0)</f>
        <v/>
      </c>
      <c r="E21" s="27">
        <f>(B20+B21)/2*$B$6</f>
        <v/>
      </c>
      <c r="F21" s="27">
        <f>C21*$B$6</f>
        <v/>
      </c>
      <c r="G21" s="27">
        <f>E21*$B$9</f>
        <v/>
      </c>
      <c r="H21" s="27">
        <f>D21*$B$8</f>
        <v/>
      </c>
      <c r="I21" s="27">
        <f>$B$10</f>
        <v/>
      </c>
      <c r="J21" s="27">
        <f>G21-H21-I21</f>
        <v/>
      </c>
      <c r="K21" s="27">
        <f>K20+J21</f>
        <v/>
      </c>
    </row>
    <row r="22">
      <c r="A22" s="22" t="n">
        <v>9</v>
      </c>
      <c r="B22" s="23">
        <f>ROUND($B$5/(1+EXP(-0.45*(A22-12))),0)</f>
        <v/>
      </c>
      <c r="C22" s="23">
        <f>ROUND(B21*$B$7,0)</f>
        <v/>
      </c>
      <c r="D22" s="23">
        <f>MAX(B22-B21+C22,0)</f>
        <v/>
      </c>
      <c r="E22" s="24">
        <f>(B21+B22)/2*$B$6</f>
        <v/>
      </c>
      <c r="F22" s="24">
        <f>C22*$B$6</f>
        <v/>
      </c>
      <c r="G22" s="24">
        <f>E22*$B$9</f>
        <v/>
      </c>
      <c r="H22" s="24">
        <f>D22*$B$8</f>
        <v/>
      </c>
      <c r="I22" s="24">
        <f>$B$10</f>
        <v/>
      </c>
      <c r="J22" s="24">
        <f>G22-H22-I22</f>
        <v/>
      </c>
      <c r="K22" s="24">
        <f>K21+J22</f>
        <v/>
      </c>
    </row>
    <row r="23">
      <c r="A23" s="25" t="n">
        <v>10</v>
      </c>
      <c r="B23" s="26">
        <f>ROUND($B$5/(1+EXP(-0.45*(A23-12))),0)</f>
        <v/>
      </c>
      <c r="C23" s="26">
        <f>ROUND(B22*$B$7,0)</f>
        <v/>
      </c>
      <c r="D23" s="26">
        <f>MAX(B23-B22+C23,0)</f>
        <v/>
      </c>
      <c r="E23" s="27">
        <f>(B22+B23)/2*$B$6</f>
        <v/>
      </c>
      <c r="F23" s="27">
        <f>C23*$B$6</f>
        <v/>
      </c>
      <c r="G23" s="27">
        <f>E23*$B$9</f>
        <v/>
      </c>
      <c r="H23" s="27">
        <f>D23*$B$8</f>
        <v/>
      </c>
      <c r="I23" s="27">
        <f>$B$10</f>
        <v/>
      </c>
      <c r="J23" s="27">
        <f>G23-H23-I23</f>
        <v/>
      </c>
      <c r="K23" s="27">
        <f>K22+J23</f>
        <v/>
      </c>
    </row>
    <row r="24">
      <c r="A24" s="22" t="n">
        <v>11</v>
      </c>
      <c r="B24" s="23">
        <f>ROUND($B$5/(1+EXP(-0.45*(A24-12))),0)</f>
        <v/>
      </c>
      <c r="C24" s="23">
        <f>ROUND(B23*$B$7,0)</f>
        <v/>
      </c>
      <c r="D24" s="23">
        <f>MAX(B24-B23+C24,0)</f>
        <v/>
      </c>
      <c r="E24" s="24">
        <f>(B23+B24)/2*$B$6</f>
        <v/>
      </c>
      <c r="F24" s="24">
        <f>C24*$B$6</f>
        <v/>
      </c>
      <c r="G24" s="24">
        <f>E24*$B$9</f>
        <v/>
      </c>
      <c r="H24" s="24">
        <f>D24*$B$8</f>
        <v/>
      </c>
      <c r="I24" s="24">
        <f>$B$10</f>
        <v/>
      </c>
      <c r="J24" s="24">
        <f>G24-H24-I24</f>
        <v/>
      </c>
      <c r="K24" s="24">
        <f>K23+J24</f>
        <v/>
      </c>
    </row>
    <row r="25">
      <c r="A25" s="25" t="n">
        <v>12</v>
      </c>
      <c r="B25" s="26">
        <f>ROUND($B$5/(1+EXP(-0.45*(A25-12))),0)</f>
        <v/>
      </c>
      <c r="C25" s="26">
        <f>ROUND(B24*$B$7,0)</f>
        <v/>
      </c>
      <c r="D25" s="26">
        <f>MAX(B25-B24+C25,0)</f>
        <v/>
      </c>
      <c r="E25" s="27">
        <f>(B24+B25)/2*$B$6</f>
        <v/>
      </c>
      <c r="F25" s="27">
        <f>C25*$B$6</f>
        <v/>
      </c>
      <c r="G25" s="27">
        <f>E25*$B$9</f>
        <v/>
      </c>
      <c r="H25" s="27">
        <f>D25*$B$8</f>
        <v/>
      </c>
      <c r="I25" s="27">
        <f>$B$10</f>
        <v/>
      </c>
      <c r="J25" s="27">
        <f>G25-H25-I25</f>
        <v/>
      </c>
      <c r="K25" s="27">
        <f>K24+J25</f>
        <v/>
      </c>
    </row>
    <row r="26">
      <c r="A26" s="22" t="n">
        <v>13</v>
      </c>
      <c r="B26" s="23">
        <f>ROUND($B$5/(1+EXP(-0.45*(A26-12))),0)</f>
        <v/>
      </c>
      <c r="C26" s="23">
        <f>ROUND(B25*$B$7,0)</f>
        <v/>
      </c>
      <c r="D26" s="23">
        <f>MAX(B26-B25+C26,0)</f>
        <v/>
      </c>
      <c r="E26" s="24">
        <f>(B25+B26)/2*$B$6</f>
        <v/>
      </c>
      <c r="F26" s="24">
        <f>C26*$B$6</f>
        <v/>
      </c>
      <c r="G26" s="24">
        <f>E26*$B$9</f>
        <v/>
      </c>
      <c r="H26" s="24">
        <f>D26*$B$8</f>
        <v/>
      </c>
      <c r="I26" s="24">
        <f>$B$10</f>
        <v/>
      </c>
      <c r="J26" s="24">
        <f>G26-H26-I26</f>
        <v/>
      </c>
      <c r="K26" s="24">
        <f>K25+J26</f>
        <v/>
      </c>
    </row>
    <row r="27">
      <c r="A27" s="25" t="n">
        <v>14</v>
      </c>
      <c r="B27" s="26">
        <f>ROUND($B$5/(1+EXP(-0.45*(A27-12))),0)</f>
        <v/>
      </c>
      <c r="C27" s="26">
        <f>ROUND(B26*$B$7,0)</f>
        <v/>
      </c>
      <c r="D27" s="26">
        <f>MAX(B27-B26+C27,0)</f>
        <v/>
      </c>
      <c r="E27" s="27">
        <f>(B26+B27)/2*$B$6</f>
        <v/>
      </c>
      <c r="F27" s="27">
        <f>C27*$B$6</f>
        <v/>
      </c>
      <c r="G27" s="27">
        <f>E27*$B$9</f>
        <v/>
      </c>
      <c r="H27" s="27">
        <f>D27*$B$8</f>
        <v/>
      </c>
      <c r="I27" s="27">
        <f>$B$10</f>
        <v/>
      </c>
      <c r="J27" s="27">
        <f>G27-H27-I27</f>
        <v/>
      </c>
      <c r="K27" s="27">
        <f>K26+J27</f>
        <v/>
      </c>
    </row>
    <row r="28">
      <c r="A28" s="22" t="n">
        <v>15</v>
      </c>
      <c r="B28" s="23">
        <f>ROUND($B$5/(1+EXP(-0.45*(A28-12))),0)</f>
        <v/>
      </c>
      <c r="C28" s="23">
        <f>ROUND(B27*$B$7,0)</f>
        <v/>
      </c>
      <c r="D28" s="23">
        <f>MAX(B28-B27+C28,0)</f>
        <v/>
      </c>
      <c r="E28" s="24">
        <f>(B27+B28)/2*$B$6</f>
        <v/>
      </c>
      <c r="F28" s="24">
        <f>C28*$B$6</f>
        <v/>
      </c>
      <c r="G28" s="24">
        <f>E28*$B$9</f>
        <v/>
      </c>
      <c r="H28" s="24">
        <f>D28*$B$8</f>
        <v/>
      </c>
      <c r="I28" s="24">
        <f>$B$10</f>
        <v/>
      </c>
      <c r="J28" s="24">
        <f>G28-H28-I28</f>
        <v/>
      </c>
      <c r="K28" s="24">
        <f>K27+J28</f>
        <v/>
      </c>
    </row>
    <row r="29">
      <c r="A29" s="25" t="n">
        <v>16</v>
      </c>
      <c r="B29" s="26">
        <f>ROUND($B$5/(1+EXP(-0.45*(A29-12))),0)</f>
        <v/>
      </c>
      <c r="C29" s="26">
        <f>ROUND(B28*$B$7,0)</f>
        <v/>
      </c>
      <c r="D29" s="26">
        <f>MAX(B29-B28+C29,0)</f>
        <v/>
      </c>
      <c r="E29" s="27">
        <f>(B28+B29)/2*$B$6</f>
        <v/>
      </c>
      <c r="F29" s="27">
        <f>C29*$B$6</f>
        <v/>
      </c>
      <c r="G29" s="27">
        <f>E29*$B$9</f>
        <v/>
      </c>
      <c r="H29" s="27">
        <f>D29*$B$8</f>
        <v/>
      </c>
      <c r="I29" s="27">
        <f>$B$10</f>
        <v/>
      </c>
      <c r="J29" s="27">
        <f>G29-H29-I29</f>
        <v/>
      </c>
      <c r="K29" s="27">
        <f>K28+J29</f>
        <v/>
      </c>
    </row>
    <row r="30">
      <c r="A30" s="22" t="n">
        <v>17</v>
      </c>
      <c r="B30" s="23">
        <f>ROUND($B$5/(1+EXP(-0.45*(A30-12))),0)</f>
        <v/>
      </c>
      <c r="C30" s="23">
        <f>ROUND(B29*$B$7,0)</f>
        <v/>
      </c>
      <c r="D30" s="23">
        <f>MAX(B30-B29+C30,0)</f>
        <v/>
      </c>
      <c r="E30" s="24">
        <f>(B29+B30)/2*$B$6</f>
        <v/>
      </c>
      <c r="F30" s="24">
        <f>C30*$B$6</f>
        <v/>
      </c>
      <c r="G30" s="24">
        <f>E30*$B$9</f>
        <v/>
      </c>
      <c r="H30" s="24">
        <f>D30*$B$8</f>
        <v/>
      </c>
      <c r="I30" s="24">
        <f>$B$10</f>
        <v/>
      </c>
      <c r="J30" s="24">
        <f>G30-H30-I30</f>
        <v/>
      </c>
      <c r="K30" s="24">
        <f>K29+J30</f>
        <v/>
      </c>
    </row>
    <row r="31">
      <c r="A31" s="25" t="n">
        <v>18</v>
      </c>
      <c r="B31" s="26">
        <f>ROUND($B$5/(1+EXP(-0.45*(A31-12))),0)</f>
        <v/>
      </c>
      <c r="C31" s="26">
        <f>ROUND(B30*$B$7,0)</f>
        <v/>
      </c>
      <c r="D31" s="26">
        <f>MAX(B31-B30+C31,0)</f>
        <v/>
      </c>
      <c r="E31" s="27">
        <f>(B30+B31)/2*$B$6</f>
        <v/>
      </c>
      <c r="F31" s="27">
        <f>C31*$B$6</f>
        <v/>
      </c>
      <c r="G31" s="27">
        <f>E31*$B$9</f>
        <v/>
      </c>
      <c r="H31" s="27">
        <f>D31*$B$8</f>
        <v/>
      </c>
      <c r="I31" s="27">
        <f>$B$10</f>
        <v/>
      </c>
      <c r="J31" s="27">
        <f>G31-H31-I31</f>
        <v/>
      </c>
      <c r="K31" s="27">
        <f>K30+J31</f>
        <v/>
      </c>
    </row>
    <row r="32">
      <c r="A32" s="22" t="n">
        <v>19</v>
      </c>
      <c r="B32" s="23">
        <f>ROUND($B$5/(1+EXP(-0.45*(A32-12))),0)</f>
        <v/>
      </c>
      <c r="C32" s="23">
        <f>ROUND(B31*$B$7,0)</f>
        <v/>
      </c>
      <c r="D32" s="23">
        <f>MAX(B32-B31+C32,0)</f>
        <v/>
      </c>
      <c r="E32" s="24">
        <f>(B31+B32)/2*$B$6</f>
        <v/>
      </c>
      <c r="F32" s="24">
        <f>C32*$B$6</f>
        <v/>
      </c>
      <c r="G32" s="24">
        <f>E32*$B$9</f>
        <v/>
      </c>
      <c r="H32" s="24">
        <f>D32*$B$8</f>
        <v/>
      </c>
      <c r="I32" s="24">
        <f>$B$10</f>
        <v/>
      </c>
      <c r="J32" s="24">
        <f>G32-H32-I32</f>
        <v/>
      </c>
      <c r="K32" s="24">
        <f>K31+J32</f>
        <v/>
      </c>
    </row>
    <row r="33">
      <c r="A33" s="25" t="n">
        <v>20</v>
      </c>
      <c r="B33" s="26">
        <f>ROUND($B$5/(1+EXP(-0.45*(A33-12))),0)</f>
        <v/>
      </c>
      <c r="C33" s="26">
        <f>ROUND(B32*$B$7,0)</f>
        <v/>
      </c>
      <c r="D33" s="26">
        <f>MAX(B33-B32+C33,0)</f>
        <v/>
      </c>
      <c r="E33" s="27">
        <f>(B32+B33)/2*$B$6</f>
        <v/>
      </c>
      <c r="F33" s="27">
        <f>C33*$B$6</f>
        <v/>
      </c>
      <c r="G33" s="27">
        <f>E33*$B$9</f>
        <v/>
      </c>
      <c r="H33" s="27">
        <f>D33*$B$8</f>
        <v/>
      </c>
      <c r="I33" s="27">
        <f>$B$10</f>
        <v/>
      </c>
      <c r="J33" s="27">
        <f>G33-H33-I33</f>
        <v/>
      </c>
      <c r="K33" s="27">
        <f>K32+J33</f>
        <v/>
      </c>
    </row>
    <row r="34">
      <c r="A34" s="22" t="n">
        <v>21</v>
      </c>
      <c r="B34" s="23">
        <f>ROUND($B$5/(1+EXP(-0.45*(A34-12))),0)</f>
        <v/>
      </c>
      <c r="C34" s="23">
        <f>ROUND(B33*$B$7,0)</f>
        <v/>
      </c>
      <c r="D34" s="23">
        <f>MAX(B34-B33+C34,0)</f>
        <v/>
      </c>
      <c r="E34" s="24">
        <f>(B33+B34)/2*$B$6</f>
        <v/>
      </c>
      <c r="F34" s="24">
        <f>C34*$B$6</f>
        <v/>
      </c>
      <c r="G34" s="24">
        <f>E34*$B$9</f>
        <v/>
      </c>
      <c r="H34" s="24">
        <f>D34*$B$8</f>
        <v/>
      </c>
      <c r="I34" s="24">
        <f>$B$10</f>
        <v/>
      </c>
      <c r="J34" s="24">
        <f>G34-H34-I34</f>
        <v/>
      </c>
      <c r="K34" s="24">
        <f>K33+J34</f>
        <v/>
      </c>
    </row>
    <row r="35">
      <c r="A35" s="25" t="n">
        <v>22</v>
      </c>
      <c r="B35" s="26">
        <f>ROUND($B$5/(1+EXP(-0.45*(A35-12))),0)</f>
        <v/>
      </c>
      <c r="C35" s="26">
        <f>ROUND(B34*$B$7,0)</f>
        <v/>
      </c>
      <c r="D35" s="26">
        <f>MAX(B35-B34+C35,0)</f>
        <v/>
      </c>
      <c r="E35" s="27">
        <f>(B34+B35)/2*$B$6</f>
        <v/>
      </c>
      <c r="F35" s="27">
        <f>C35*$B$6</f>
        <v/>
      </c>
      <c r="G35" s="27">
        <f>E35*$B$9</f>
        <v/>
      </c>
      <c r="H35" s="27">
        <f>D35*$B$8</f>
        <v/>
      </c>
      <c r="I35" s="27">
        <f>$B$10</f>
        <v/>
      </c>
      <c r="J35" s="27">
        <f>G35-H35-I35</f>
        <v/>
      </c>
      <c r="K35" s="27">
        <f>K34+J35</f>
        <v/>
      </c>
    </row>
    <row r="36">
      <c r="A36" s="22" t="n">
        <v>23</v>
      </c>
      <c r="B36" s="23">
        <f>ROUND($B$5/(1+EXP(-0.45*(A36-12))),0)</f>
        <v/>
      </c>
      <c r="C36" s="23">
        <f>ROUND(B35*$B$7,0)</f>
        <v/>
      </c>
      <c r="D36" s="23">
        <f>MAX(B36-B35+C36,0)</f>
        <v/>
      </c>
      <c r="E36" s="24">
        <f>(B35+B36)/2*$B$6</f>
        <v/>
      </c>
      <c r="F36" s="24">
        <f>C36*$B$6</f>
        <v/>
      </c>
      <c r="G36" s="24">
        <f>E36*$B$9</f>
        <v/>
      </c>
      <c r="H36" s="24">
        <f>D36*$B$8</f>
        <v/>
      </c>
      <c r="I36" s="24">
        <f>$B$10</f>
        <v/>
      </c>
      <c r="J36" s="24">
        <f>G36-H36-I36</f>
        <v/>
      </c>
      <c r="K36" s="24">
        <f>K35+J36</f>
        <v/>
      </c>
    </row>
    <row r="37">
      <c r="A37" s="25" t="n">
        <v>24</v>
      </c>
      <c r="B37" s="26">
        <f>ROUND($B$5/(1+EXP(-0.45*(A37-12))),0)</f>
        <v/>
      </c>
      <c r="C37" s="26">
        <f>ROUND(B36*$B$7,0)</f>
        <v/>
      </c>
      <c r="D37" s="26">
        <f>MAX(B37-B36+C37,0)</f>
        <v/>
      </c>
      <c r="E37" s="27">
        <f>(B36+B37)/2*$B$6</f>
        <v/>
      </c>
      <c r="F37" s="27">
        <f>C37*$B$6</f>
        <v/>
      </c>
      <c r="G37" s="27">
        <f>E37*$B$9</f>
        <v/>
      </c>
      <c r="H37" s="27">
        <f>D37*$B$8</f>
        <v/>
      </c>
      <c r="I37" s="27">
        <f>$B$10</f>
        <v/>
      </c>
      <c r="J37" s="27">
        <f>G37-H37-I37</f>
        <v/>
      </c>
      <c r="K37" s="27">
        <f>K36+J37</f>
        <v/>
      </c>
    </row>
    <row r="40">
      <c r="A40" s="28" t="inlineStr">
        <is>
          <t>Özet Metrikler</t>
        </is>
      </c>
    </row>
    <row r="41">
      <c r="A41" s="29" t="inlineStr">
        <is>
          <t>2026 EOY ARR (Ay 12 × 12) (€)</t>
        </is>
      </c>
      <c r="B41" s="30">
        <f>B25*$B$6*12</f>
        <v/>
      </c>
    </row>
    <row r="42">
      <c r="A42" s="29" t="inlineStr">
        <is>
          <t>2027 EOY ARR (Ay 24 × 12) (€)</t>
        </is>
      </c>
      <c r="B42" s="30">
        <f>B37*$B$6*12</f>
        <v/>
      </c>
    </row>
    <row r="43">
      <c r="A43" s="29" t="inlineStr">
        <is>
          <t>Toplam 24-Ay Gelir (€)</t>
        </is>
      </c>
      <c r="B43" s="30">
        <f>SUM(E14:E37)</f>
        <v/>
      </c>
    </row>
    <row r="44">
      <c r="A44" s="29" t="inlineStr">
        <is>
          <t>Toplam OPEX (€)</t>
        </is>
      </c>
      <c r="B44" s="30">
        <f>SUM(I14:I37)</f>
        <v/>
      </c>
    </row>
    <row r="45">
      <c r="A45" s="29" t="inlineStr">
        <is>
          <t>Toplam CAC Yatırımı (€)</t>
        </is>
      </c>
      <c r="B45" s="30">
        <f>SUM(H14:H37)</f>
        <v/>
      </c>
    </row>
    <row r="46">
      <c r="A46" s="29" t="inlineStr">
        <is>
          <t>Toplam Brüt Kar (€)</t>
        </is>
      </c>
      <c r="B46" s="30">
        <f>SUM(G14:G37)</f>
        <v/>
      </c>
    </row>
    <row r="47">
      <c r="A47" s="29" t="inlineStr">
        <is>
          <t>Kümülatif EBITDA Ay 24 (€)</t>
        </is>
      </c>
      <c r="B47" s="30">
        <f>K37</f>
        <v/>
      </c>
    </row>
    <row r="48">
      <c r="A48" s="29" t="inlineStr">
        <is>
          <t>Maksimum Cash Burn / Trough (€)</t>
        </is>
      </c>
      <c r="B48" s="30">
        <f>MIN(K14:K37)</f>
        <v/>
      </c>
    </row>
    <row r="49">
      <c r="A49" s="29" t="inlineStr">
        <is>
          <t>Break-Even Ayı (ilk pozitif EBITDA)</t>
        </is>
      </c>
      <c r="B49" s="31">
        <f>IFERROR(INDEX(A14:A37,MATCH(TRUE,INDEX(J14:J37&gt;0,0),0)),"24 ay icinde yok")</f>
        <v/>
      </c>
    </row>
    <row r="50">
      <c r="A50" s="29" t="inlineStr">
        <is>
          <t>Cash-Positive Ayı (kümülatif cash &gt; 0)</t>
        </is>
      </c>
      <c r="B50" s="31">
        <f>IFERROR(INDEX(A14:A37,MATCH(TRUE,INDEX(K14:K37&gt;0,0),0)),"24 ay icinde yok")</f>
        <v/>
      </c>
    </row>
    <row r="53">
      <c r="A53" s="32" t="inlineStr">
        <is>
          <t>Notlar</t>
        </is>
      </c>
    </row>
    <row r="54">
      <c r="A54" s="2" t="inlineStr">
        <is>
          <t>1. Linear ramp: Aktif müşteri = Hedef × (Ay / 24). S-curve: sigmoid, ay 12'de inflection.</t>
        </is>
      </c>
    </row>
    <row r="55">
      <c r="A55" s="2" t="inlineStr">
        <is>
          <t>2. Gelir = Ortalama aktif müşteri (önceki ay + bu ay) / 2 × ARPU.</t>
        </is>
      </c>
    </row>
    <row r="56">
      <c r="A56" s="2" t="inlineStr">
        <is>
          <t>3. Yeni Edinilen = Net büyüme + Churn replacement (gross adds).</t>
        </is>
      </c>
    </row>
    <row r="57">
      <c r="A57" s="2" t="inlineStr">
        <is>
          <t>4. Brüt Kar = Gelir × Brüt marj (SaaS hosting + destek maliyetleri sonrası).</t>
        </is>
      </c>
    </row>
    <row r="58">
      <c r="A58" s="2" t="inlineStr">
        <is>
          <t>5. OPEX €700K/yıl combined (€350K Movetech + €350K Rasyotek) sabit dağıtım.</t>
        </is>
      </c>
    </row>
    <row r="59">
      <c r="A59" s="2" t="inlineStr">
        <is>
          <t>6. EBITDA = Brüt Kar - CAC - OPEX. Cash = kümülatif EBITDA.</t>
        </is>
      </c>
    </row>
    <row r="60">
      <c r="A60" s="2" t="inlineStr">
        <is>
          <t>7. Break-even = ilk pozitif aylık EBITDA. Cash-positive = kümülatif cash &gt; 0 ilk ay.</t>
        </is>
      </c>
    </row>
  </sheetData>
  <mergeCells count="9">
    <mergeCell ref="A58:K58"/>
    <mergeCell ref="A54:K54"/>
    <mergeCell ref="A55:K55"/>
    <mergeCell ref="A59:K59"/>
    <mergeCell ref="A57:K57"/>
    <mergeCell ref="A2:K2"/>
    <mergeCell ref="A60:K60"/>
    <mergeCell ref="A1:K1"/>
    <mergeCell ref="A56:K56"/>
  </mergeCells>
  <conditionalFormatting sqref="J14:J37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K14:K37">
    <cfRule type="cellIs" priority="3" operator="lessThan" dxfId="1">
      <formula>0</formula>
    </cfRule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3" t="inlineStr">
        <is>
          <t>RasyoLog Finansal Model — Senaryo: Bear</t>
        </is>
      </c>
    </row>
    <row r="2">
      <c r="A2" s="14" t="inlineStr">
        <is>
          <t>Bear: Linear 150 müşteri, €400 ARPU, %8 churn, €2000 CAC</t>
        </is>
      </c>
    </row>
    <row r="4">
      <c r="A4" s="15" t="inlineStr">
        <is>
          <t>Parametreler</t>
        </is>
      </c>
    </row>
    <row r="5">
      <c r="A5" s="4" t="inlineStr">
        <is>
          <t>Hedef Müşteri (Ay 24)</t>
        </is>
      </c>
      <c r="B5" s="16" t="n">
        <v>150</v>
      </c>
    </row>
    <row r="6">
      <c r="A6" s="4" t="inlineStr">
        <is>
          <t>ARPU (€/ay/müşteri)</t>
        </is>
      </c>
      <c r="B6" s="17" t="n">
        <v>400</v>
      </c>
    </row>
    <row r="7">
      <c r="A7" s="4" t="inlineStr">
        <is>
          <t>Aylık Churn Oranı</t>
        </is>
      </c>
      <c r="B7" s="18" t="n">
        <v>0.08</v>
      </c>
    </row>
    <row r="8">
      <c r="A8" s="4" t="inlineStr">
        <is>
          <t>CAC (€/müşteri)</t>
        </is>
      </c>
      <c r="B8" s="17" t="n">
        <v>2000</v>
      </c>
    </row>
    <row r="9">
      <c r="A9" s="4" t="inlineStr">
        <is>
          <t>Brüt Marj (SaaS hosting + destek sonrası)</t>
        </is>
      </c>
      <c r="B9" s="19" t="n">
        <v>0.75</v>
      </c>
    </row>
    <row r="10">
      <c r="A10" s="4" t="inlineStr">
        <is>
          <t>OPEX Aylık (€) — sabit, €700K/yıl combined</t>
        </is>
      </c>
      <c r="B10" s="17" t="n">
        <v>58333.33333333334</v>
      </c>
    </row>
    <row r="11">
      <c r="A11" s="4" t="inlineStr">
        <is>
          <t>Ramp Tipi</t>
        </is>
      </c>
      <c r="B11" s="20" t="inlineStr">
        <is>
          <t>linear</t>
        </is>
      </c>
    </row>
    <row r="13" ht="32" customHeight="1">
      <c r="A13" s="21" t="inlineStr">
        <is>
          <t>Ay</t>
        </is>
      </c>
      <c r="B13" s="21" t="inlineStr">
        <is>
          <t>Aktif Müşteri
(Ay Sonu)</t>
        </is>
      </c>
      <c r="C13" s="21" t="inlineStr">
        <is>
          <t>Churn'lu
Müşteri</t>
        </is>
      </c>
      <c r="D13" s="21" t="inlineStr">
        <is>
          <t>Yeni Edinilen
Müşteri</t>
        </is>
      </c>
      <c r="E13" s="21" t="inlineStr">
        <is>
          <t>Gelir (€)</t>
        </is>
      </c>
      <c r="F13" s="21" t="inlineStr">
        <is>
          <t>Kayıp MRR
(Churn €)</t>
        </is>
      </c>
      <c r="G13" s="21" t="inlineStr">
        <is>
          <t>Brüt Kar (€)</t>
        </is>
      </c>
      <c r="H13" s="21" t="inlineStr">
        <is>
          <t>CAC Maliyeti (€)</t>
        </is>
      </c>
      <c r="I13" s="21" t="inlineStr">
        <is>
          <t>OPEX (€)</t>
        </is>
      </c>
      <c r="J13" s="21" t="inlineStr">
        <is>
          <t>EBITDA (€)</t>
        </is>
      </c>
      <c r="K13" s="21" t="inlineStr">
        <is>
          <t>Kümülatif Cash (€)</t>
        </is>
      </c>
    </row>
    <row r="14">
      <c r="A14" s="22" t="n">
        <v>1</v>
      </c>
      <c r="B14" s="23">
        <f>ROUND($B$5*A14/24,0)</f>
        <v/>
      </c>
      <c r="C14" s="23" t="n">
        <v>0</v>
      </c>
      <c r="D14" s="23">
        <f>B14+C14</f>
        <v/>
      </c>
      <c r="E14" s="24">
        <f>B14/2*$B$6</f>
        <v/>
      </c>
      <c r="F14" s="24">
        <f>C14*$B$6</f>
        <v/>
      </c>
      <c r="G14" s="24">
        <f>E14*$B$9</f>
        <v/>
      </c>
      <c r="H14" s="24">
        <f>D14*$B$8</f>
        <v/>
      </c>
      <c r="I14" s="24">
        <f>$B$10</f>
        <v/>
      </c>
      <c r="J14" s="24">
        <f>G14-H14-I14</f>
        <v/>
      </c>
      <c r="K14" s="24">
        <f>J14</f>
        <v/>
      </c>
    </row>
    <row r="15">
      <c r="A15" s="25" t="n">
        <v>2</v>
      </c>
      <c r="B15" s="26">
        <f>ROUND($B$5*A15/24,0)</f>
        <v/>
      </c>
      <c r="C15" s="26">
        <f>ROUND(B14*$B$7,0)</f>
        <v/>
      </c>
      <c r="D15" s="26">
        <f>MAX(B15-B14+C15,0)</f>
        <v/>
      </c>
      <c r="E15" s="27">
        <f>(B14+B15)/2*$B$6</f>
        <v/>
      </c>
      <c r="F15" s="27">
        <f>C15*$B$6</f>
        <v/>
      </c>
      <c r="G15" s="27">
        <f>E15*$B$9</f>
        <v/>
      </c>
      <c r="H15" s="27">
        <f>D15*$B$8</f>
        <v/>
      </c>
      <c r="I15" s="27">
        <f>$B$10</f>
        <v/>
      </c>
      <c r="J15" s="27">
        <f>G15-H15-I15</f>
        <v/>
      </c>
      <c r="K15" s="27">
        <f>K14+J15</f>
        <v/>
      </c>
    </row>
    <row r="16">
      <c r="A16" s="22" t="n">
        <v>3</v>
      </c>
      <c r="B16" s="23">
        <f>ROUND($B$5*A16/24,0)</f>
        <v/>
      </c>
      <c r="C16" s="23">
        <f>ROUND(B15*$B$7,0)</f>
        <v/>
      </c>
      <c r="D16" s="23">
        <f>MAX(B16-B15+C16,0)</f>
        <v/>
      </c>
      <c r="E16" s="24">
        <f>(B15+B16)/2*$B$6</f>
        <v/>
      </c>
      <c r="F16" s="24">
        <f>C16*$B$6</f>
        <v/>
      </c>
      <c r="G16" s="24">
        <f>E16*$B$9</f>
        <v/>
      </c>
      <c r="H16" s="24">
        <f>D16*$B$8</f>
        <v/>
      </c>
      <c r="I16" s="24">
        <f>$B$10</f>
        <v/>
      </c>
      <c r="J16" s="24">
        <f>G16-H16-I16</f>
        <v/>
      </c>
      <c r="K16" s="24">
        <f>K15+J16</f>
        <v/>
      </c>
    </row>
    <row r="17">
      <c r="A17" s="25" t="n">
        <v>4</v>
      </c>
      <c r="B17" s="26">
        <f>ROUND($B$5*A17/24,0)</f>
        <v/>
      </c>
      <c r="C17" s="26">
        <f>ROUND(B16*$B$7,0)</f>
        <v/>
      </c>
      <c r="D17" s="26">
        <f>MAX(B17-B16+C17,0)</f>
        <v/>
      </c>
      <c r="E17" s="27">
        <f>(B16+B17)/2*$B$6</f>
        <v/>
      </c>
      <c r="F17" s="27">
        <f>C17*$B$6</f>
        <v/>
      </c>
      <c r="G17" s="27">
        <f>E17*$B$9</f>
        <v/>
      </c>
      <c r="H17" s="27">
        <f>D17*$B$8</f>
        <v/>
      </c>
      <c r="I17" s="27">
        <f>$B$10</f>
        <v/>
      </c>
      <c r="J17" s="27">
        <f>G17-H17-I17</f>
        <v/>
      </c>
      <c r="K17" s="27">
        <f>K16+J17</f>
        <v/>
      </c>
    </row>
    <row r="18">
      <c r="A18" s="22" t="n">
        <v>5</v>
      </c>
      <c r="B18" s="23">
        <f>ROUND($B$5*A18/24,0)</f>
        <v/>
      </c>
      <c r="C18" s="23">
        <f>ROUND(B17*$B$7,0)</f>
        <v/>
      </c>
      <c r="D18" s="23">
        <f>MAX(B18-B17+C18,0)</f>
        <v/>
      </c>
      <c r="E18" s="24">
        <f>(B17+B18)/2*$B$6</f>
        <v/>
      </c>
      <c r="F18" s="24">
        <f>C18*$B$6</f>
        <v/>
      </c>
      <c r="G18" s="24">
        <f>E18*$B$9</f>
        <v/>
      </c>
      <c r="H18" s="24">
        <f>D18*$B$8</f>
        <v/>
      </c>
      <c r="I18" s="24">
        <f>$B$10</f>
        <v/>
      </c>
      <c r="J18" s="24">
        <f>G18-H18-I18</f>
        <v/>
      </c>
      <c r="K18" s="24">
        <f>K17+J18</f>
        <v/>
      </c>
    </row>
    <row r="19">
      <c r="A19" s="25" t="n">
        <v>6</v>
      </c>
      <c r="B19" s="26">
        <f>ROUND($B$5*A19/24,0)</f>
        <v/>
      </c>
      <c r="C19" s="26">
        <f>ROUND(B18*$B$7,0)</f>
        <v/>
      </c>
      <c r="D19" s="26">
        <f>MAX(B19-B18+C19,0)</f>
        <v/>
      </c>
      <c r="E19" s="27">
        <f>(B18+B19)/2*$B$6</f>
        <v/>
      </c>
      <c r="F19" s="27">
        <f>C19*$B$6</f>
        <v/>
      </c>
      <c r="G19" s="27">
        <f>E19*$B$9</f>
        <v/>
      </c>
      <c r="H19" s="27">
        <f>D19*$B$8</f>
        <v/>
      </c>
      <c r="I19" s="27">
        <f>$B$10</f>
        <v/>
      </c>
      <c r="J19" s="27">
        <f>G19-H19-I19</f>
        <v/>
      </c>
      <c r="K19" s="27">
        <f>K18+J19</f>
        <v/>
      </c>
    </row>
    <row r="20">
      <c r="A20" s="22" t="n">
        <v>7</v>
      </c>
      <c r="B20" s="23">
        <f>ROUND($B$5*A20/24,0)</f>
        <v/>
      </c>
      <c r="C20" s="23">
        <f>ROUND(B19*$B$7,0)</f>
        <v/>
      </c>
      <c r="D20" s="23">
        <f>MAX(B20-B19+C20,0)</f>
        <v/>
      </c>
      <c r="E20" s="24">
        <f>(B19+B20)/2*$B$6</f>
        <v/>
      </c>
      <c r="F20" s="24">
        <f>C20*$B$6</f>
        <v/>
      </c>
      <c r="G20" s="24">
        <f>E20*$B$9</f>
        <v/>
      </c>
      <c r="H20" s="24">
        <f>D20*$B$8</f>
        <v/>
      </c>
      <c r="I20" s="24">
        <f>$B$10</f>
        <v/>
      </c>
      <c r="J20" s="24">
        <f>G20-H20-I20</f>
        <v/>
      </c>
      <c r="K20" s="24">
        <f>K19+J20</f>
        <v/>
      </c>
    </row>
    <row r="21">
      <c r="A21" s="25" t="n">
        <v>8</v>
      </c>
      <c r="B21" s="26">
        <f>ROUND($B$5*A21/24,0)</f>
        <v/>
      </c>
      <c r="C21" s="26">
        <f>ROUND(B20*$B$7,0)</f>
        <v/>
      </c>
      <c r="D21" s="26">
        <f>MAX(B21-B20+C21,0)</f>
        <v/>
      </c>
      <c r="E21" s="27">
        <f>(B20+B21)/2*$B$6</f>
        <v/>
      </c>
      <c r="F21" s="27">
        <f>C21*$B$6</f>
        <v/>
      </c>
      <c r="G21" s="27">
        <f>E21*$B$9</f>
        <v/>
      </c>
      <c r="H21" s="27">
        <f>D21*$B$8</f>
        <v/>
      </c>
      <c r="I21" s="27">
        <f>$B$10</f>
        <v/>
      </c>
      <c r="J21" s="27">
        <f>G21-H21-I21</f>
        <v/>
      </c>
      <c r="K21" s="27">
        <f>K20+J21</f>
        <v/>
      </c>
    </row>
    <row r="22">
      <c r="A22" s="22" t="n">
        <v>9</v>
      </c>
      <c r="B22" s="23">
        <f>ROUND($B$5*A22/24,0)</f>
        <v/>
      </c>
      <c r="C22" s="23">
        <f>ROUND(B21*$B$7,0)</f>
        <v/>
      </c>
      <c r="D22" s="23">
        <f>MAX(B22-B21+C22,0)</f>
        <v/>
      </c>
      <c r="E22" s="24">
        <f>(B21+B22)/2*$B$6</f>
        <v/>
      </c>
      <c r="F22" s="24">
        <f>C22*$B$6</f>
        <v/>
      </c>
      <c r="G22" s="24">
        <f>E22*$B$9</f>
        <v/>
      </c>
      <c r="H22" s="24">
        <f>D22*$B$8</f>
        <v/>
      </c>
      <c r="I22" s="24">
        <f>$B$10</f>
        <v/>
      </c>
      <c r="J22" s="24">
        <f>G22-H22-I22</f>
        <v/>
      </c>
      <c r="K22" s="24">
        <f>K21+J22</f>
        <v/>
      </c>
    </row>
    <row r="23">
      <c r="A23" s="25" t="n">
        <v>10</v>
      </c>
      <c r="B23" s="26">
        <f>ROUND($B$5*A23/24,0)</f>
        <v/>
      </c>
      <c r="C23" s="26">
        <f>ROUND(B22*$B$7,0)</f>
        <v/>
      </c>
      <c r="D23" s="26">
        <f>MAX(B23-B22+C23,0)</f>
        <v/>
      </c>
      <c r="E23" s="27">
        <f>(B22+B23)/2*$B$6</f>
        <v/>
      </c>
      <c r="F23" s="27">
        <f>C23*$B$6</f>
        <v/>
      </c>
      <c r="G23" s="27">
        <f>E23*$B$9</f>
        <v/>
      </c>
      <c r="H23" s="27">
        <f>D23*$B$8</f>
        <v/>
      </c>
      <c r="I23" s="27">
        <f>$B$10</f>
        <v/>
      </c>
      <c r="J23" s="27">
        <f>G23-H23-I23</f>
        <v/>
      </c>
      <c r="K23" s="27">
        <f>K22+J23</f>
        <v/>
      </c>
    </row>
    <row r="24">
      <c r="A24" s="22" t="n">
        <v>11</v>
      </c>
      <c r="B24" s="23">
        <f>ROUND($B$5*A24/24,0)</f>
        <v/>
      </c>
      <c r="C24" s="23">
        <f>ROUND(B23*$B$7,0)</f>
        <v/>
      </c>
      <c r="D24" s="23">
        <f>MAX(B24-B23+C24,0)</f>
        <v/>
      </c>
      <c r="E24" s="24">
        <f>(B23+B24)/2*$B$6</f>
        <v/>
      </c>
      <c r="F24" s="24">
        <f>C24*$B$6</f>
        <v/>
      </c>
      <c r="G24" s="24">
        <f>E24*$B$9</f>
        <v/>
      </c>
      <c r="H24" s="24">
        <f>D24*$B$8</f>
        <v/>
      </c>
      <c r="I24" s="24">
        <f>$B$10</f>
        <v/>
      </c>
      <c r="J24" s="24">
        <f>G24-H24-I24</f>
        <v/>
      </c>
      <c r="K24" s="24">
        <f>K23+J24</f>
        <v/>
      </c>
    </row>
    <row r="25">
      <c r="A25" s="25" t="n">
        <v>12</v>
      </c>
      <c r="B25" s="26">
        <f>ROUND($B$5*A25/24,0)</f>
        <v/>
      </c>
      <c r="C25" s="26">
        <f>ROUND(B24*$B$7,0)</f>
        <v/>
      </c>
      <c r="D25" s="26">
        <f>MAX(B25-B24+C25,0)</f>
        <v/>
      </c>
      <c r="E25" s="27">
        <f>(B24+B25)/2*$B$6</f>
        <v/>
      </c>
      <c r="F25" s="27">
        <f>C25*$B$6</f>
        <v/>
      </c>
      <c r="G25" s="27">
        <f>E25*$B$9</f>
        <v/>
      </c>
      <c r="H25" s="27">
        <f>D25*$B$8</f>
        <v/>
      </c>
      <c r="I25" s="27">
        <f>$B$10</f>
        <v/>
      </c>
      <c r="J25" s="27">
        <f>G25-H25-I25</f>
        <v/>
      </c>
      <c r="K25" s="27">
        <f>K24+J25</f>
        <v/>
      </c>
    </row>
    <row r="26">
      <c r="A26" s="22" t="n">
        <v>13</v>
      </c>
      <c r="B26" s="23">
        <f>ROUND($B$5*A26/24,0)</f>
        <v/>
      </c>
      <c r="C26" s="23">
        <f>ROUND(B25*$B$7,0)</f>
        <v/>
      </c>
      <c r="D26" s="23">
        <f>MAX(B26-B25+C26,0)</f>
        <v/>
      </c>
      <c r="E26" s="24">
        <f>(B25+B26)/2*$B$6</f>
        <v/>
      </c>
      <c r="F26" s="24">
        <f>C26*$B$6</f>
        <v/>
      </c>
      <c r="G26" s="24">
        <f>E26*$B$9</f>
        <v/>
      </c>
      <c r="H26" s="24">
        <f>D26*$B$8</f>
        <v/>
      </c>
      <c r="I26" s="24">
        <f>$B$10</f>
        <v/>
      </c>
      <c r="J26" s="24">
        <f>G26-H26-I26</f>
        <v/>
      </c>
      <c r="K26" s="24">
        <f>K25+J26</f>
        <v/>
      </c>
    </row>
    <row r="27">
      <c r="A27" s="25" t="n">
        <v>14</v>
      </c>
      <c r="B27" s="26">
        <f>ROUND($B$5*A27/24,0)</f>
        <v/>
      </c>
      <c r="C27" s="26">
        <f>ROUND(B26*$B$7,0)</f>
        <v/>
      </c>
      <c r="D27" s="26">
        <f>MAX(B27-B26+C27,0)</f>
        <v/>
      </c>
      <c r="E27" s="27">
        <f>(B26+B27)/2*$B$6</f>
        <v/>
      </c>
      <c r="F27" s="27">
        <f>C27*$B$6</f>
        <v/>
      </c>
      <c r="G27" s="27">
        <f>E27*$B$9</f>
        <v/>
      </c>
      <c r="H27" s="27">
        <f>D27*$B$8</f>
        <v/>
      </c>
      <c r="I27" s="27">
        <f>$B$10</f>
        <v/>
      </c>
      <c r="J27" s="27">
        <f>G27-H27-I27</f>
        <v/>
      </c>
      <c r="K27" s="27">
        <f>K26+J27</f>
        <v/>
      </c>
    </row>
    <row r="28">
      <c r="A28" s="22" t="n">
        <v>15</v>
      </c>
      <c r="B28" s="23">
        <f>ROUND($B$5*A28/24,0)</f>
        <v/>
      </c>
      <c r="C28" s="23">
        <f>ROUND(B27*$B$7,0)</f>
        <v/>
      </c>
      <c r="D28" s="23">
        <f>MAX(B28-B27+C28,0)</f>
        <v/>
      </c>
      <c r="E28" s="24">
        <f>(B27+B28)/2*$B$6</f>
        <v/>
      </c>
      <c r="F28" s="24">
        <f>C28*$B$6</f>
        <v/>
      </c>
      <c r="G28" s="24">
        <f>E28*$B$9</f>
        <v/>
      </c>
      <c r="H28" s="24">
        <f>D28*$B$8</f>
        <v/>
      </c>
      <c r="I28" s="24">
        <f>$B$10</f>
        <v/>
      </c>
      <c r="J28" s="24">
        <f>G28-H28-I28</f>
        <v/>
      </c>
      <c r="K28" s="24">
        <f>K27+J28</f>
        <v/>
      </c>
    </row>
    <row r="29">
      <c r="A29" s="25" t="n">
        <v>16</v>
      </c>
      <c r="B29" s="26">
        <f>ROUND($B$5*A29/24,0)</f>
        <v/>
      </c>
      <c r="C29" s="26">
        <f>ROUND(B28*$B$7,0)</f>
        <v/>
      </c>
      <c r="D29" s="26">
        <f>MAX(B29-B28+C29,0)</f>
        <v/>
      </c>
      <c r="E29" s="27">
        <f>(B28+B29)/2*$B$6</f>
        <v/>
      </c>
      <c r="F29" s="27">
        <f>C29*$B$6</f>
        <v/>
      </c>
      <c r="G29" s="27">
        <f>E29*$B$9</f>
        <v/>
      </c>
      <c r="H29" s="27">
        <f>D29*$B$8</f>
        <v/>
      </c>
      <c r="I29" s="27">
        <f>$B$10</f>
        <v/>
      </c>
      <c r="J29" s="27">
        <f>G29-H29-I29</f>
        <v/>
      </c>
      <c r="K29" s="27">
        <f>K28+J29</f>
        <v/>
      </c>
    </row>
    <row r="30">
      <c r="A30" s="22" t="n">
        <v>17</v>
      </c>
      <c r="B30" s="23">
        <f>ROUND($B$5*A30/24,0)</f>
        <v/>
      </c>
      <c r="C30" s="23">
        <f>ROUND(B29*$B$7,0)</f>
        <v/>
      </c>
      <c r="D30" s="23">
        <f>MAX(B30-B29+C30,0)</f>
        <v/>
      </c>
      <c r="E30" s="24">
        <f>(B29+B30)/2*$B$6</f>
        <v/>
      </c>
      <c r="F30" s="24">
        <f>C30*$B$6</f>
        <v/>
      </c>
      <c r="G30" s="24">
        <f>E30*$B$9</f>
        <v/>
      </c>
      <c r="H30" s="24">
        <f>D30*$B$8</f>
        <v/>
      </c>
      <c r="I30" s="24">
        <f>$B$10</f>
        <v/>
      </c>
      <c r="J30" s="24">
        <f>G30-H30-I30</f>
        <v/>
      </c>
      <c r="K30" s="24">
        <f>K29+J30</f>
        <v/>
      </c>
    </row>
    <row r="31">
      <c r="A31" s="25" t="n">
        <v>18</v>
      </c>
      <c r="B31" s="26">
        <f>ROUND($B$5*A31/24,0)</f>
        <v/>
      </c>
      <c r="C31" s="26">
        <f>ROUND(B30*$B$7,0)</f>
        <v/>
      </c>
      <c r="D31" s="26">
        <f>MAX(B31-B30+C31,0)</f>
        <v/>
      </c>
      <c r="E31" s="27">
        <f>(B30+B31)/2*$B$6</f>
        <v/>
      </c>
      <c r="F31" s="27">
        <f>C31*$B$6</f>
        <v/>
      </c>
      <c r="G31" s="27">
        <f>E31*$B$9</f>
        <v/>
      </c>
      <c r="H31" s="27">
        <f>D31*$B$8</f>
        <v/>
      </c>
      <c r="I31" s="27">
        <f>$B$10</f>
        <v/>
      </c>
      <c r="J31" s="27">
        <f>G31-H31-I31</f>
        <v/>
      </c>
      <c r="K31" s="27">
        <f>K30+J31</f>
        <v/>
      </c>
    </row>
    <row r="32">
      <c r="A32" s="22" t="n">
        <v>19</v>
      </c>
      <c r="B32" s="23">
        <f>ROUND($B$5*A32/24,0)</f>
        <v/>
      </c>
      <c r="C32" s="23">
        <f>ROUND(B31*$B$7,0)</f>
        <v/>
      </c>
      <c r="D32" s="23">
        <f>MAX(B32-B31+C32,0)</f>
        <v/>
      </c>
      <c r="E32" s="24">
        <f>(B31+B32)/2*$B$6</f>
        <v/>
      </c>
      <c r="F32" s="24">
        <f>C32*$B$6</f>
        <v/>
      </c>
      <c r="G32" s="24">
        <f>E32*$B$9</f>
        <v/>
      </c>
      <c r="H32" s="24">
        <f>D32*$B$8</f>
        <v/>
      </c>
      <c r="I32" s="24">
        <f>$B$10</f>
        <v/>
      </c>
      <c r="J32" s="24">
        <f>G32-H32-I32</f>
        <v/>
      </c>
      <c r="K32" s="24">
        <f>K31+J32</f>
        <v/>
      </c>
    </row>
    <row r="33">
      <c r="A33" s="25" t="n">
        <v>20</v>
      </c>
      <c r="B33" s="26">
        <f>ROUND($B$5*A33/24,0)</f>
        <v/>
      </c>
      <c r="C33" s="26">
        <f>ROUND(B32*$B$7,0)</f>
        <v/>
      </c>
      <c r="D33" s="26">
        <f>MAX(B33-B32+C33,0)</f>
        <v/>
      </c>
      <c r="E33" s="27">
        <f>(B32+B33)/2*$B$6</f>
        <v/>
      </c>
      <c r="F33" s="27">
        <f>C33*$B$6</f>
        <v/>
      </c>
      <c r="G33" s="27">
        <f>E33*$B$9</f>
        <v/>
      </c>
      <c r="H33" s="27">
        <f>D33*$B$8</f>
        <v/>
      </c>
      <c r="I33" s="27">
        <f>$B$10</f>
        <v/>
      </c>
      <c r="J33" s="27">
        <f>G33-H33-I33</f>
        <v/>
      </c>
      <c r="K33" s="27">
        <f>K32+J33</f>
        <v/>
      </c>
    </row>
    <row r="34">
      <c r="A34" s="22" t="n">
        <v>21</v>
      </c>
      <c r="B34" s="23">
        <f>ROUND($B$5*A34/24,0)</f>
        <v/>
      </c>
      <c r="C34" s="23">
        <f>ROUND(B33*$B$7,0)</f>
        <v/>
      </c>
      <c r="D34" s="23">
        <f>MAX(B34-B33+C34,0)</f>
        <v/>
      </c>
      <c r="E34" s="24">
        <f>(B33+B34)/2*$B$6</f>
        <v/>
      </c>
      <c r="F34" s="24">
        <f>C34*$B$6</f>
        <v/>
      </c>
      <c r="G34" s="24">
        <f>E34*$B$9</f>
        <v/>
      </c>
      <c r="H34" s="24">
        <f>D34*$B$8</f>
        <v/>
      </c>
      <c r="I34" s="24">
        <f>$B$10</f>
        <v/>
      </c>
      <c r="J34" s="24">
        <f>G34-H34-I34</f>
        <v/>
      </c>
      <c r="K34" s="24">
        <f>K33+J34</f>
        <v/>
      </c>
    </row>
    <row r="35">
      <c r="A35" s="25" t="n">
        <v>22</v>
      </c>
      <c r="B35" s="26">
        <f>ROUND($B$5*A35/24,0)</f>
        <v/>
      </c>
      <c r="C35" s="26">
        <f>ROUND(B34*$B$7,0)</f>
        <v/>
      </c>
      <c r="D35" s="26">
        <f>MAX(B35-B34+C35,0)</f>
        <v/>
      </c>
      <c r="E35" s="27">
        <f>(B34+B35)/2*$B$6</f>
        <v/>
      </c>
      <c r="F35" s="27">
        <f>C35*$B$6</f>
        <v/>
      </c>
      <c r="G35" s="27">
        <f>E35*$B$9</f>
        <v/>
      </c>
      <c r="H35" s="27">
        <f>D35*$B$8</f>
        <v/>
      </c>
      <c r="I35" s="27">
        <f>$B$10</f>
        <v/>
      </c>
      <c r="J35" s="27">
        <f>G35-H35-I35</f>
        <v/>
      </c>
      <c r="K35" s="27">
        <f>K34+J35</f>
        <v/>
      </c>
    </row>
    <row r="36">
      <c r="A36" s="22" t="n">
        <v>23</v>
      </c>
      <c r="B36" s="23">
        <f>ROUND($B$5*A36/24,0)</f>
        <v/>
      </c>
      <c r="C36" s="23">
        <f>ROUND(B35*$B$7,0)</f>
        <v/>
      </c>
      <c r="D36" s="23">
        <f>MAX(B36-B35+C36,0)</f>
        <v/>
      </c>
      <c r="E36" s="24">
        <f>(B35+B36)/2*$B$6</f>
        <v/>
      </c>
      <c r="F36" s="24">
        <f>C36*$B$6</f>
        <v/>
      </c>
      <c r="G36" s="24">
        <f>E36*$B$9</f>
        <v/>
      </c>
      <c r="H36" s="24">
        <f>D36*$B$8</f>
        <v/>
      </c>
      <c r="I36" s="24">
        <f>$B$10</f>
        <v/>
      </c>
      <c r="J36" s="24">
        <f>G36-H36-I36</f>
        <v/>
      </c>
      <c r="K36" s="24">
        <f>K35+J36</f>
        <v/>
      </c>
    </row>
    <row r="37">
      <c r="A37" s="25" t="n">
        <v>24</v>
      </c>
      <c r="B37" s="26">
        <f>ROUND($B$5*A37/24,0)</f>
        <v/>
      </c>
      <c r="C37" s="26">
        <f>ROUND(B36*$B$7,0)</f>
        <v/>
      </c>
      <c r="D37" s="26">
        <f>MAX(B37-B36+C37,0)</f>
        <v/>
      </c>
      <c r="E37" s="27">
        <f>(B36+B37)/2*$B$6</f>
        <v/>
      </c>
      <c r="F37" s="27">
        <f>C37*$B$6</f>
        <v/>
      </c>
      <c r="G37" s="27">
        <f>E37*$B$9</f>
        <v/>
      </c>
      <c r="H37" s="27">
        <f>D37*$B$8</f>
        <v/>
      </c>
      <c r="I37" s="27">
        <f>$B$10</f>
        <v/>
      </c>
      <c r="J37" s="27">
        <f>G37-H37-I37</f>
        <v/>
      </c>
      <c r="K37" s="27">
        <f>K36+J37</f>
        <v/>
      </c>
    </row>
    <row r="40">
      <c r="A40" s="28" t="inlineStr">
        <is>
          <t>Özet Metrikler</t>
        </is>
      </c>
    </row>
    <row r="41">
      <c r="A41" s="29" t="inlineStr">
        <is>
          <t>2026 EOY ARR (Ay 12 × 12) (€)</t>
        </is>
      </c>
      <c r="B41" s="30">
        <f>B25*$B$6*12</f>
        <v/>
      </c>
    </row>
    <row r="42">
      <c r="A42" s="29" t="inlineStr">
        <is>
          <t>2027 EOY ARR (Ay 24 × 12) (€)</t>
        </is>
      </c>
      <c r="B42" s="30">
        <f>B37*$B$6*12</f>
        <v/>
      </c>
    </row>
    <row r="43">
      <c r="A43" s="29" t="inlineStr">
        <is>
          <t>Toplam 24-Ay Gelir (€)</t>
        </is>
      </c>
      <c r="B43" s="30">
        <f>SUM(E14:E37)</f>
        <v/>
      </c>
    </row>
    <row r="44">
      <c r="A44" s="29" t="inlineStr">
        <is>
          <t>Toplam OPEX (€)</t>
        </is>
      </c>
      <c r="B44" s="30">
        <f>SUM(I14:I37)</f>
        <v/>
      </c>
    </row>
    <row r="45">
      <c r="A45" s="29" t="inlineStr">
        <is>
          <t>Toplam CAC Yatırımı (€)</t>
        </is>
      </c>
      <c r="B45" s="30">
        <f>SUM(H14:H37)</f>
        <v/>
      </c>
    </row>
    <row r="46">
      <c r="A46" s="29" t="inlineStr">
        <is>
          <t>Toplam Brüt Kar (€)</t>
        </is>
      </c>
      <c r="B46" s="30">
        <f>SUM(G14:G37)</f>
        <v/>
      </c>
    </row>
    <row r="47">
      <c r="A47" s="29" t="inlineStr">
        <is>
          <t>Kümülatif EBITDA Ay 24 (€)</t>
        </is>
      </c>
      <c r="B47" s="30">
        <f>K37</f>
        <v/>
      </c>
    </row>
    <row r="48">
      <c r="A48" s="29" t="inlineStr">
        <is>
          <t>Maksimum Cash Burn / Trough (€)</t>
        </is>
      </c>
      <c r="B48" s="30">
        <f>MIN(K14:K37)</f>
        <v/>
      </c>
    </row>
    <row r="49">
      <c r="A49" s="29" t="inlineStr">
        <is>
          <t>Break-Even Ayı (ilk pozitif EBITDA)</t>
        </is>
      </c>
      <c r="B49" s="31">
        <f>IFERROR(INDEX(A14:A37,MATCH(TRUE,INDEX(J14:J37&gt;0,0),0)),"24 ay icinde yok")</f>
        <v/>
      </c>
    </row>
    <row r="50">
      <c r="A50" s="29" t="inlineStr">
        <is>
          <t>Cash-Positive Ayı (kümülatif cash &gt; 0)</t>
        </is>
      </c>
      <c r="B50" s="31">
        <f>IFERROR(INDEX(A14:A37,MATCH(TRUE,INDEX(K14:K37&gt;0,0),0)),"24 ay icinde yok")</f>
        <v/>
      </c>
    </row>
    <row r="53">
      <c r="A53" s="32" t="inlineStr">
        <is>
          <t>Notlar</t>
        </is>
      </c>
    </row>
    <row r="54">
      <c r="A54" s="2" t="inlineStr">
        <is>
          <t>1. Linear ramp: Aktif müşteri = Hedef × (Ay / 24). S-curve: sigmoid, ay 12'de inflection.</t>
        </is>
      </c>
    </row>
    <row r="55">
      <c r="A55" s="2" t="inlineStr">
        <is>
          <t>2. Gelir = Ortalama aktif müşteri (önceki ay + bu ay) / 2 × ARPU.</t>
        </is>
      </c>
    </row>
    <row r="56">
      <c r="A56" s="2" t="inlineStr">
        <is>
          <t>3. Yeni Edinilen = Net büyüme + Churn replacement (gross adds).</t>
        </is>
      </c>
    </row>
    <row r="57">
      <c r="A57" s="2" t="inlineStr">
        <is>
          <t>4. Brüt Kar = Gelir × Brüt marj (SaaS hosting + destek maliyetleri sonrası).</t>
        </is>
      </c>
    </row>
    <row r="58">
      <c r="A58" s="2" t="inlineStr">
        <is>
          <t>5. OPEX €700K/yıl combined (€350K Movetech + €350K Rasyotek) sabit dağıtım.</t>
        </is>
      </c>
    </row>
    <row r="59">
      <c r="A59" s="2" t="inlineStr">
        <is>
          <t>6. EBITDA = Brüt Kar - CAC - OPEX. Cash = kümülatif EBITDA.</t>
        </is>
      </c>
    </row>
    <row r="60">
      <c r="A60" s="2" t="inlineStr">
        <is>
          <t>7. Break-even = ilk pozitif aylık EBITDA. Cash-positive = kümülatif cash &gt; 0 ilk ay.</t>
        </is>
      </c>
    </row>
  </sheetData>
  <mergeCells count="9">
    <mergeCell ref="A58:K58"/>
    <mergeCell ref="A54:K54"/>
    <mergeCell ref="A55:K55"/>
    <mergeCell ref="A59:K59"/>
    <mergeCell ref="A57:K57"/>
    <mergeCell ref="A2:K2"/>
    <mergeCell ref="A60:K60"/>
    <mergeCell ref="A1:K1"/>
    <mergeCell ref="A56:K56"/>
  </mergeCells>
  <conditionalFormatting sqref="J14:J37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K14:K37">
    <cfRule type="cellIs" priority="3" operator="lessThan" dxfId="1">
      <formula>0</formula>
    </cfRule>
    <cfRule type="cellIs" priority="4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2026-05-24T22:09:17Z</dcterms:created>
  <dcterms:modified xmlns:dcterms="http://purl.org/dc/terms/" xmlns:xsi="http://www.w3.org/2001/XMLSchema-instance" xsi:type="dcterms:W3CDTF">2026-05-24T22:09:17Z</dcterms:modified>
</cp:coreProperties>
</file>