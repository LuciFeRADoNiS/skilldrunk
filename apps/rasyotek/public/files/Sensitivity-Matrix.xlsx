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iklama" sheetId="1" state="visible" r:id="rId1"/>
    <sheet xmlns:r="http://schemas.openxmlformats.org/officeDocument/2006/relationships" name="Matris 1 Fiyat-Churn" sheetId="2" state="visible" r:id="rId2"/>
    <sheet xmlns:r="http://schemas.openxmlformats.org/officeDocument/2006/relationships" name="Matris 2 Musteri-CA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</font>
    <font>
      <i val="1"/>
      <color rgb="00666666"/>
    </font>
    <font>
      <b val="1"/>
      <sz val="12"/>
    </font>
    <font>
      <b val="1"/>
      <color rgb="00FFFFFF"/>
    </font>
    <font>
      <color rgb="0033333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4B084"/>
      </patternFill>
    </fill>
    <fill>
      <patternFill patternType="solid">
        <fgColor rgb="002E75B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5" fillId="4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6" fillId="5" borderId="1" applyAlignment="1" pivotButton="0" quotePrefix="0" xfId="0">
      <alignment horizontal="center" wrapText="1"/>
    </xf>
    <xf numFmtId="165" fontId="6" fillId="5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5" fillId="6" borderId="0" pivotButton="0" quotePrefix="0" xfId="0"/>
    <xf numFmtId="0" fontId="7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Sensitivity Matrix — Aciklama</t>
        </is>
      </c>
    </row>
    <row r="3">
      <c r="A3" s="2" t="inlineStr">
        <is>
          <t>Bu Dosya Ne Iceriyor?</t>
        </is>
      </c>
    </row>
    <row r="5">
      <c r="A5" s="3" t="inlineStr">
        <is>
          <t>Bu dosya RasyoLog yapisinin temel parametre degisikliklerine duyarliligini olcer.</t>
        </is>
      </c>
    </row>
    <row r="6">
      <c r="A6" s="4" t="n"/>
    </row>
    <row r="7">
      <c r="A7" s="5" t="inlineStr">
        <is>
          <t>Sayfa 'Matris 1 Fiyat-Churn':</t>
        </is>
      </c>
    </row>
    <row r="8">
      <c r="A8" s="3" t="inlineStr">
        <is>
          <t>Fiyat (EUR 300-700) ve Churn (%2-%10) kombinasyonlarinin 2027 EOY ARR ureteme uretemyecegi.</t>
        </is>
      </c>
    </row>
    <row r="9">
      <c r="A9" s="3" t="inlineStr">
        <is>
          <t>Steady-state formulu: ARR = (aylik edinim / aylik churn) × fiyat × 12</t>
        </is>
      </c>
    </row>
    <row r="10">
      <c r="A10" s="3" t="inlineStr">
        <is>
          <t>Hedef: EUR 1.4M ARR (Fuat'in 5-12 mailindeki hedef)</t>
        </is>
      </c>
    </row>
    <row r="11">
      <c r="A11" s="4" t="n"/>
    </row>
    <row r="12">
      <c r="A12" s="5" t="inlineStr">
        <is>
          <t>Sayfa 'Matris 2 Musteri-CAC':</t>
        </is>
      </c>
    </row>
    <row r="13">
      <c r="A13" s="3" t="inlineStr">
        <is>
          <t>Hedef Musteri (100-300) ve CAC (EUR 1000-2500) kombinasyonlarinin 24-ay kumulatif EBITDA'sini gosterir.</t>
        </is>
      </c>
    </row>
    <row r="14">
      <c r="A14" s="3" t="inlineStr">
        <is>
          <t>Bu, MovetechNewCo + Rasyotek toplam cash gap'ini gosterir.</t>
        </is>
      </c>
    </row>
    <row r="15">
      <c r="A15" s="3" t="inlineStr">
        <is>
          <t>Yesil = pozitif EBITDA (self-financed) | Kirmizi = EUR 500K+ burn (dis yatirim gerekir)</t>
        </is>
      </c>
    </row>
    <row r="16">
      <c r="A16" s="4" t="n"/>
    </row>
    <row r="17">
      <c r="A17" s="5" t="inlineStr">
        <is>
          <t>Toplantida Kullanim:</t>
        </is>
      </c>
    </row>
    <row r="18">
      <c r="A18" s="3" t="inlineStr">
        <is>
          <t>1. Erdem/Sedat'a Matris 1'i goster → 'Hangi fiyat-churn kombinasyonunda hedefe ulasiriz?'</t>
        </is>
      </c>
    </row>
    <row r="19">
      <c r="A19" s="3" t="inlineStr">
        <is>
          <t>2. Haldun'a Matris 2'yi goster → 'EUR 700K/yil + 24 ay = EUR 1.4M opex... bu matris cash gap'i acikliyor.'</t>
        </is>
      </c>
    </row>
    <row r="20">
      <c r="A20" s="3" t="inlineStr">
        <is>
          <t>3. Fuat'a sor: 'Sizin %20 hedefi icin gerekli aktif musteri-arpu kombinasyonu nedir?'</t>
        </is>
      </c>
    </row>
    <row r="21">
      <c r="A21" s="4" t="n"/>
    </row>
    <row r="22">
      <c r="A22" s="5" t="inlineStr">
        <is>
          <t>Uyari:</t>
        </is>
      </c>
    </row>
    <row r="23">
      <c r="A23" s="3" t="inlineStr">
        <is>
          <t>Steady-state varsayim erken yillarda gercekciligi sinirli (ay 1-12 ramp dahil degil).</t>
        </is>
      </c>
    </row>
    <row r="24">
      <c r="A24" s="3" t="inlineStr">
        <is>
          <t>Detayli aylik P&amp;L icin: RasyoLog-Financial-Model.xlsx → Base/Bull/Bear sayfalari.</t>
        </is>
      </c>
    </row>
  </sheetData>
  <mergeCells count="21">
    <mergeCell ref="A16:F16"/>
    <mergeCell ref="A12:F12"/>
    <mergeCell ref="A18:F18"/>
    <mergeCell ref="A21:F21"/>
    <mergeCell ref="A14:F14"/>
    <mergeCell ref="A5:F5"/>
    <mergeCell ref="A23:F23"/>
    <mergeCell ref="A8:F8"/>
    <mergeCell ref="A22:F22"/>
    <mergeCell ref="A17:F17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Matris 1: Fiyat × Churn → 2027 EOY ARR (€)</t>
        </is>
      </c>
    </row>
    <row r="2">
      <c r="A2" s="7" t="inlineStr">
        <is>
          <t>Formül: ARR = (Aylık Edinim Hızı / Aylık Churn) × Fiyat × 12 — Steady-State</t>
        </is>
      </c>
    </row>
    <row r="4">
      <c r="A4" s="8" t="inlineStr">
        <is>
          <t>Sabit Parametre</t>
        </is>
      </c>
      <c r="B4" s="8" t="inlineStr">
        <is>
          <t>Değer</t>
        </is>
      </c>
    </row>
    <row r="5">
      <c r="A5" t="inlineStr">
        <is>
          <t>Aylık Edinim Hızı (yeni müşteri/ay)</t>
        </is>
      </c>
      <c r="B5" t="n">
        <v>15</v>
      </c>
    </row>
    <row r="6">
      <c r="A6" t="inlineStr">
        <is>
          <t>Hedef ARR (Yeşil eşiği)</t>
        </is>
      </c>
      <c r="B6" s="9" t="n">
        <v>1400000</v>
      </c>
    </row>
    <row r="7">
      <c r="A7" s="10" t="inlineStr">
        <is>
          <t>Yeşil &gt; Hedef (€1.4M)</t>
        </is>
      </c>
    </row>
    <row r="8">
      <c r="A8" s="10" t="inlineStr">
        <is>
          <t>Sarı = ±%20 Bant (€1.12M-€1.68M)</t>
        </is>
      </c>
    </row>
    <row r="9">
      <c r="A9" s="10" t="inlineStr">
        <is>
          <t>Kırmızı &lt; Hedef -%20 (€1.12M altı)</t>
        </is>
      </c>
    </row>
    <row r="11">
      <c r="A11" s="2" t="inlineStr">
        <is>
          <t>Matris</t>
        </is>
      </c>
    </row>
    <row r="12">
      <c r="A12" s="11" t="inlineStr">
        <is>
          <t>Fiyat (€) ↓ / Churn (%) →</t>
        </is>
      </c>
      <c r="B12" s="12" t="n">
        <v>0.02</v>
      </c>
      <c r="C12" s="12" t="n">
        <v>0.03</v>
      </c>
      <c r="D12" s="12" t="n">
        <v>0.04</v>
      </c>
      <c r="E12" s="12" t="n">
        <v>0.05</v>
      </c>
      <c r="F12" s="12" t="n">
        <v>0.06</v>
      </c>
      <c r="G12" s="12" t="n">
        <v>0.07000000000000001</v>
      </c>
      <c r="H12" s="12" t="n">
        <v>0.08</v>
      </c>
      <c r="I12" s="12" t="n">
        <v>0.09</v>
      </c>
      <c r="J12" s="12" t="n">
        <v>0.1</v>
      </c>
    </row>
    <row r="13">
      <c r="A13" s="13" t="n">
        <v>300</v>
      </c>
      <c r="B13" s="14">
        <f>($B$5/B12)*A13*12</f>
        <v/>
      </c>
      <c r="C13" s="14">
        <f>($B$5/C12)*A13*12</f>
        <v/>
      </c>
      <c r="D13" s="14">
        <f>($B$5/D12)*A13*12</f>
        <v/>
      </c>
      <c r="E13" s="14">
        <f>($B$5/E12)*A13*12</f>
        <v/>
      </c>
      <c r="F13" s="14">
        <f>($B$5/F12)*A13*12</f>
        <v/>
      </c>
      <c r="G13" s="14">
        <f>($B$5/G12)*A13*12</f>
        <v/>
      </c>
      <c r="H13" s="14">
        <f>($B$5/H12)*A13*12</f>
        <v/>
      </c>
      <c r="I13" s="14">
        <f>($B$5/I12)*A13*12</f>
        <v/>
      </c>
      <c r="J13" s="14">
        <f>($B$5/J12)*A13*12</f>
        <v/>
      </c>
    </row>
    <row r="14">
      <c r="A14" s="13" t="n">
        <v>350</v>
      </c>
      <c r="B14" s="14">
        <f>($B$5/B12)*A14*12</f>
        <v/>
      </c>
      <c r="C14" s="14">
        <f>($B$5/C12)*A14*12</f>
        <v/>
      </c>
      <c r="D14" s="14">
        <f>($B$5/D12)*A14*12</f>
        <v/>
      </c>
      <c r="E14" s="14">
        <f>($B$5/E12)*A14*12</f>
        <v/>
      </c>
      <c r="F14" s="14">
        <f>($B$5/F12)*A14*12</f>
        <v/>
      </c>
      <c r="G14" s="14">
        <f>($B$5/G12)*A14*12</f>
        <v/>
      </c>
      <c r="H14" s="14">
        <f>($B$5/H12)*A14*12</f>
        <v/>
      </c>
      <c r="I14" s="14">
        <f>($B$5/I12)*A14*12</f>
        <v/>
      </c>
      <c r="J14" s="14">
        <f>($B$5/J12)*A14*12</f>
        <v/>
      </c>
    </row>
    <row r="15">
      <c r="A15" s="13" t="n">
        <v>400</v>
      </c>
      <c r="B15" s="14">
        <f>($B$5/B12)*A15*12</f>
        <v/>
      </c>
      <c r="C15" s="14">
        <f>($B$5/C12)*A15*12</f>
        <v/>
      </c>
      <c r="D15" s="14">
        <f>($B$5/D12)*A15*12</f>
        <v/>
      </c>
      <c r="E15" s="14">
        <f>($B$5/E12)*A15*12</f>
        <v/>
      </c>
      <c r="F15" s="14">
        <f>($B$5/F12)*A15*12</f>
        <v/>
      </c>
      <c r="G15" s="14">
        <f>($B$5/G12)*A15*12</f>
        <v/>
      </c>
      <c r="H15" s="14">
        <f>($B$5/H12)*A15*12</f>
        <v/>
      </c>
      <c r="I15" s="14">
        <f>($B$5/I12)*A15*12</f>
        <v/>
      </c>
      <c r="J15" s="14">
        <f>($B$5/J12)*A15*12</f>
        <v/>
      </c>
    </row>
    <row r="16">
      <c r="A16" s="13" t="n">
        <v>450</v>
      </c>
      <c r="B16" s="14">
        <f>($B$5/B12)*A16*12</f>
        <v/>
      </c>
      <c r="C16" s="14">
        <f>($B$5/C12)*A16*12</f>
        <v/>
      </c>
      <c r="D16" s="14">
        <f>($B$5/D12)*A16*12</f>
        <v/>
      </c>
      <c r="E16" s="14">
        <f>($B$5/E12)*A16*12</f>
        <v/>
      </c>
      <c r="F16" s="14">
        <f>($B$5/F12)*A16*12</f>
        <v/>
      </c>
      <c r="G16" s="14">
        <f>($B$5/G12)*A16*12</f>
        <v/>
      </c>
      <c r="H16" s="14">
        <f>($B$5/H12)*A16*12</f>
        <v/>
      </c>
      <c r="I16" s="14">
        <f>($B$5/I12)*A16*12</f>
        <v/>
      </c>
      <c r="J16" s="14">
        <f>($B$5/J12)*A16*12</f>
        <v/>
      </c>
    </row>
    <row r="17">
      <c r="A17" s="13" t="n">
        <v>500</v>
      </c>
      <c r="B17" s="14">
        <f>($B$5/B12)*A17*12</f>
        <v/>
      </c>
      <c r="C17" s="14">
        <f>($B$5/C12)*A17*12</f>
        <v/>
      </c>
      <c r="D17" s="14">
        <f>($B$5/D12)*A17*12</f>
        <v/>
      </c>
      <c r="E17" s="14">
        <f>($B$5/E12)*A17*12</f>
        <v/>
      </c>
      <c r="F17" s="14">
        <f>($B$5/F12)*A17*12</f>
        <v/>
      </c>
      <c r="G17" s="14">
        <f>($B$5/G12)*A17*12</f>
        <v/>
      </c>
      <c r="H17" s="14">
        <f>($B$5/H12)*A17*12</f>
        <v/>
      </c>
      <c r="I17" s="14">
        <f>($B$5/I12)*A17*12</f>
        <v/>
      </c>
      <c r="J17" s="14">
        <f>($B$5/J12)*A17*12</f>
        <v/>
      </c>
    </row>
    <row r="18">
      <c r="A18" s="13" t="n">
        <v>550</v>
      </c>
      <c r="B18" s="14">
        <f>($B$5/B12)*A18*12</f>
        <v/>
      </c>
      <c r="C18" s="14">
        <f>($B$5/C12)*A18*12</f>
        <v/>
      </c>
      <c r="D18" s="14">
        <f>($B$5/D12)*A18*12</f>
        <v/>
      </c>
      <c r="E18" s="14">
        <f>($B$5/E12)*A18*12</f>
        <v/>
      </c>
      <c r="F18" s="14">
        <f>($B$5/F12)*A18*12</f>
        <v/>
      </c>
      <c r="G18" s="14">
        <f>($B$5/G12)*A18*12</f>
        <v/>
      </c>
      <c r="H18" s="14">
        <f>($B$5/H12)*A18*12</f>
        <v/>
      </c>
      <c r="I18" s="14">
        <f>($B$5/I12)*A18*12</f>
        <v/>
      </c>
      <c r="J18" s="14">
        <f>($B$5/J12)*A18*12</f>
        <v/>
      </c>
    </row>
    <row r="19">
      <c r="A19" s="13" t="n">
        <v>600</v>
      </c>
      <c r="B19" s="14">
        <f>($B$5/B12)*A19*12</f>
        <v/>
      </c>
      <c r="C19" s="14">
        <f>($B$5/C12)*A19*12</f>
        <v/>
      </c>
      <c r="D19" s="14">
        <f>($B$5/D12)*A19*12</f>
        <v/>
      </c>
      <c r="E19" s="14">
        <f>($B$5/E12)*A19*12</f>
        <v/>
      </c>
      <c r="F19" s="14">
        <f>($B$5/F12)*A19*12</f>
        <v/>
      </c>
      <c r="G19" s="14">
        <f>($B$5/G12)*A19*12</f>
        <v/>
      </c>
      <c r="H19" s="14">
        <f>($B$5/H12)*A19*12</f>
        <v/>
      </c>
      <c r="I19" s="14">
        <f>($B$5/I12)*A19*12</f>
        <v/>
      </c>
      <c r="J19" s="14">
        <f>($B$5/J12)*A19*12</f>
        <v/>
      </c>
    </row>
    <row r="20">
      <c r="A20" s="13" t="n">
        <v>650</v>
      </c>
      <c r="B20" s="14">
        <f>($B$5/B12)*A20*12</f>
        <v/>
      </c>
      <c r="C20" s="14">
        <f>($B$5/C12)*A20*12</f>
        <v/>
      </c>
      <c r="D20" s="14">
        <f>($B$5/D12)*A20*12</f>
        <v/>
      </c>
      <c r="E20" s="14">
        <f>($B$5/E12)*A20*12</f>
        <v/>
      </c>
      <c r="F20" s="14">
        <f>($B$5/F12)*A20*12</f>
        <v/>
      </c>
      <c r="G20" s="14">
        <f>($B$5/G12)*A20*12</f>
        <v/>
      </c>
      <c r="H20" s="14">
        <f>($B$5/H12)*A20*12</f>
        <v/>
      </c>
      <c r="I20" s="14">
        <f>($B$5/I12)*A20*12</f>
        <v/>
      </c>
      <c r="J20" s="14">
        <f>($B$5/J12)*A20*12</f>
        <v/>
      </c>
    </row>
    <row r="21">
      <c r="A21" s="13" t="n">
        <v>700</v>
      </c>
      <c r="B21" s="14">
        <f>($B$5/B12)*A21*12</f>
        <v/>
      </c>
      <c r="C21" s="14">
        <f>($B$5/C12)*A21*12</f>
        <v/>
      </c>
      <c r="D21" s="14">
        <f>($B$5/D12)*A21*12</f>
        <v/>
      </c>
      <c r="E21" s="14">
        <f>($B$5/E12)*A21*12</f>
        <v/>
      </c>
      <c r="F21" s="14">
        <f>($B$5/F12)*A21*12</f>
        <v/>
      </c>
      <c r="G21" s="14">
        <f>($B$5/G12)*A21*12</f>
        <v/>
      </c>
      <c r="H21" s="14">
        <f>($B$5/H12)*A21*12</f>
        <v/>
      </c>
      <c r="I21" s="14">
        <f>($B$5/I12)*A21*12</f>
        <v/>
      </c>
      <c r="J21" s="14">
        <f>($B$5/J12)*A21*12</f>
        <v/>
      </c>
    </row>
    <row r="24">
      <c r="A24" s="15" t="inlineStr">
        <is>
          <t>Yorumlar</t>
        </is>
      </c>
    </row>
    <row r="25" ht="22" customHeight="1">
      <c r="A25" s="16" t="inlineStr">
        <is>
          <t>• Steady-state formülü: aktif müşteri sayısı = monthly_acquisition / monthly_churn (matematik denge).</t>
        </is>
      </c>
    </row>
    <row r="26" ht="22" customHeight="1">
      <c r="A26" s="16" t="inlineStr">
        <is>
          <t>• Base senaryo (Fiyat €500, Churn %5): ARR = (15/0.05) × 500 × 12 = €1.8M — hedefin üstünde ✓</t>
        </is>
      </c>
    </row>
    <row r="27" ht="22" customHeight="1">
      <c r="A27" s="16" t="inlineStr">
        <is>
          <t>• Düşük fiyat + yüksek churn kombinasyonu: ARR €500K altı → break-even imkansız.</t>
        </is>
      </c>
    </row>
    <row r="28" ht="22" customHeight="1">
      <c r="A28" s="16" t="inlineStr">
        <is>
          <t>• Yüksek fiyat + düşük churn: ARR €4M+ — ama €700 fiyat noktasında pazar bulmak zor (orta segment max €500-600).</t>
        </is>
      </c>
    </row>
    <row r="29" ht="22" customHeight="1">
      <c r="A29" s="16" t="inlineStr">
        <is>
          <t>• Müzakere takim: Fuat €500 ARPU varsayımı yapıyor. €600'a çıkarmak mümkünse 2027 ARR €2.16M = %44 artış.</t>
        </is>
      </c>
    </row>
    <row r="30" ht="22" customHeight="1">
      <c r="A30" s="16" t="inlineStr">
        <is>
          <t>• Churn yönetimi: %5 → %3 düşürmek ARR'ı %67 artırır (€1.8M → €3M). Müşteri başarısı kritik.</t>
        </is>
      </c>
    </row>
  </sheetData>
  <mergeCells count="8">
    <mergeCell ref="A26:L26"/>
    <mergeCell ref="A30:L30"/>
    <mergeCell ref="A2:L2"/>
    <mergeCell ref="A29:L29"/>
    <mergeCell ref="A25:L25"/>
    <mergeCell ref="A1:L1"/>
    <mergeCell ref="A28:L28"/>
    <mergeCell ref="A27:L27"/>
  </mergeCells>
  <conditionalFormatting sqref="B13:J21">
    <cfRule type="colorScale" priority="1">
      <colorScale>
        <cfvo type="num" val="500000"/>
        <cfvo type="num" val="1400000"/>
        <cfvo type="num" val="30000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Matris 2: Müşteri Ramp × CAC → 24-Ay Kümülatif EBITDA (€)</t>
        </is>
      </c>
    </row>
    <row r="2">
      <c r="A2" s="7" t="inlineStr">
        <is>
          <t>Formül: EBITDA = (Ortalama Müşteri × ARPU × 24 × Brüt Marj) - (Yeni Edinim × CAC) - OPEX</t>
        </is>
      </c>
    </row>
    <row r="4">
      <c r="A4" s="8" t="inlineStr">
        <is>
          <t>Sabit Parametre</t>
        </is>
      </c>
      <c r="B4" s="8" t="inlineStr">
        <is>
          <t>Değer</t>
        </is>
      </c>
    </row>
    <row r="5">
      <c r="A5" s="8" t="inlineStr">
        <is>
          <t>ARPU (€/ay)</t>
        </is>
      </c>
      <c r="B5" s="9" t="n">
        <v>500</v>
      </c>
    </row>
    <row r="6">
      <c r="A6" s="8" t="inlineStr">
        <is>
          <t>Aylık Churn</t>
        </is>
      </c>
      <c r="B6" s="17" t="n">
        <v>0.05</v>
      </c>
    </row>
    <row r="7">
      <c r="A7" s="8" t="inlineStr">
        <is>
          <t>Brüt Marj</t>
        </is>
      </c>
      <c r="B7" s="18" t="n">
        <v>0.8</v>
      </c>
    </row>
    <row r="8">
      <c r="A8" s="8" t="inlineStr">
        <is>
          <t>Toplam 24-Ay OPEX (€)</t>
        </is>
      </c>
      <c r="B8" s="9" t="n">
        <v>1400000</v>
      </c>
    </row>
    <row r="10">
      <c r="A10" s="10" t="inlineStr">
        <is>
          <t>Yeşil: Pozitif Kümülatif EBITDA (kâr)</t>
        </is>
      </c>
    </row>
    <row r="11">
      <c r="A11" s="10" t="inlineStr">
        <is>
          <t>Sarı: -€500K ile 0 arası (yönetilebilir burn)</t>
        </is>
      </c>
    </row>
    <row r="12">
      <c r="A12" s="10" t="inlineStr">
        <is>
          <t>Kırmızı: -€500K altı (kritik cash gap)</t>
        </is>
      </c>
    </row>
    <row r="14">
      <c r="A14" s="2" t="inlineStr">
        <is>
          <t>Matris</t>
        </is>
      </c>
    </row>
    <row r="15">
      <c r="A15" s="11" t="inlineStr">
        <is>
          <t>CAC (€) ↓ / Hedef Müşteri →</t>
        </is>
      </c>
      <c r="B15" s="19" t="n">
        <v>100</v>
      </c>
      <c r="C15" s="19" t="n">
        <v>125</v>
      </c>
      <c r="D15" s="19" t="n">
        <v>150</v>
      </c>
      <c r="E15" s="19" t="n">
        <v>175</v>
      </c>
      <c r="F15" s="19" t="n">
        <v>200</v>
      </c>
      <c r="G15" s="19" t="n">
        <v>225</v>
      </c>
      <c r="H15" s="19" t="n">
        <v>250</v>
      </c>
      <c r="I15" s="19" t="n">
        <v>275</v>
      </c>
      <c r="J15" s="19" t="n">
        <v>300</v>
      </c>
    </row>
    <row r="16">
      <c r="A16" s="13" t="n">
        <v>1000</v>
      </c>
      <c r="B16" s="14">
        <f>(B15/2*$B$5*24*$B$7) - (B15*(1+12*$B$6)*A16) - $B$8</f>
        <v/>
      </c>
      <c r="C16" s="14">
        <f>(C15/2*$B$5*24*$B$7) - (C15*(1+12*$B$6)*A16) - $B$8</f>
        <v/>
      </c>
      <c r="D16" s="14">
        <f>(D15/2*$B$5*24*$B$7) - (D15*(1+12*$B$6)*A16) - $B$8</f>
        <v/>
      </c>
      <c r="E16" s="14">
        <f>(E15/2*$B$5*24*$B$7) - (E15*(1+12*$B$6)*A16) - $B$8</f>
        <v/>
      </c>
      <c r="F16" s="14">
        <f>(F15/2*$B$5*24*$B$7) - (F15*(1+12*$B$6)*A16) - $B$8</f>
        <v/>
      </c>
      <c r="G16" s="14">
        <f>(G15/2*$B$5*24*$B$7) - (G15*(1+12*$B$6)*A16) - $B$8</f>
        <v/>
      </c>
      <c r="H16" s="14">
        <f>(H15/2*$B$5*24*$B$7) - (H15*(1+12*$B$6)*A16) - $B$8</f>
        <v/>
      </c>
      <c r="I16" s="14">
        <f>(I15/2*$B$5*24*$B$7) - (I15*(1+12*$B$6)*A16) - $B$8</f>
        <v/>
      </c>
      <c r="J16" s="14">
        <f>(J15/2*$B$5*24*$B$7) - (J15*(1+12*$B$6)*A16) - $B$8</f>
        <v/>
      </c>
    </row>
    <row r="17">
      <c r="A17" s="13" t="n">
        <v>1200</v>
      </c>
      <c r="B17" s="14">
        <f>(B15/2*$B$5*24*$B$7) - (B15*(1+12*$B$6)*A17) - $B$8</f>
        <v/>
      </c>
      <c r="C17" s="14">
        <f>(C15/2*$B$5*24*$B$7) - (C15*(1+12*$B$6)*A17) - $B$8</f>
        <v/>
      </c>
      <c r="D17" s="14">
        <f>(D15/2*$B$5*24*$B$7) - (D15*(1+12*$B$6)*A17) - $B$8</f>
        <v/>
      </c>
      <c r="E17" s="14">
        <f>(E15/2*$B$5*24*$B$7) - (E15*(1+12*$B$6)*A17) - $B$8</f>
        <v/>
      </c>
      <c r="F17" s="14">
        <f>(F15/2*$B$5*24*$B$7) - (F15*(1+12*$B$6)*A17) - $B$8</f>
        <v/>
      </c>
      <c r="G17" s="14">
        <f>(G15/2*$B$5*24*$B$7) - (G15*(1+12*$B$6)*A17) - $B$8</f>
        <v/>
      </c>
      <c r="H17" s="14">
        <f>(H15/2*$B$5*24*$B$7) - (H15*(1+12*$B$6)*A17) - $B$8</f>
        <v/>
      </c>
      <c r="I17" s="14">
        <f>(I15/2*$B$5*24*$B$7) - (I15*(1+12*$B$6)*A17) - $B$8</f>
        <v/>
      </c>
      <c r="J17" s="14">
        <f>(J15/2*$B$5*24*$B$7) - (J15*(1+12*$B$6)*A17) - $B$8</f>
        <v/>
      </c>
    </row>
    <row r="18">
      <c r="A18" s="13" t="n">
        <v>1400</v>
      </c>
      <c r="B18" s="14">
        <f>(B15/2*$B$5*24*$B$7) - (B15*(1+12*$B$6)*A18) - $B$8</f>
        <v/>
      </c>
      <c r="C18" s="14">
        <f>(C15/2*$B$5*24*$B$7) - (C15*(1+12*$B$6)*A18) - $B$8</f>
        <v/>
      </c>
      <c r="D18" s="14">
        <f>(D15/2*$B$5*24*$B$7) - (D15*(1+12*$B$6)*A18) - $B$8</f>
        <v/>
      </c>
      <c r="E18" s="14">
        <f>(E15/2*$B$5*24*$B$7) - (E15*(1+12*$B$6)*A18) - $B$8</f>
        <v/>
      </c>
      <c r="F18" s="14">
        <f>(F15/2*$B$5*24*$B$7) - (F15*(1+12*$B$6)*A18) - $B$8</f>
        <v/>
      </c>
      <c r="G18" s="14">
        <f>(G15/2*$B$5*24*$B$7) - (G15*(1+12*$B$6)*A18) - $B$8</f>
        <v/>
      </c>
      <c r="H18" s="14">
        <f>(H15/2*$B$5*24*$B$7) - (H15*(1+12*$B$6)*A18) - $B$8</f>
        <v/>
      </c>
      <c r="I18" s="14">
        <f>(I15/2*$B$5*24*$B$7) - (I15*(1+12*$B$6)*A18) - $B$8</f>
        <v/>
      </c>
      <c r="J18" s="14">
        <f>(J15/2*$B$5*24*$B$7) - (J15*(1+12*$B$6)*A18) - $B$8</f>
        <v/>
      </c>
    </row>
    <row r="19">
      <c r="A19" s="13" t="n">
        <v>1600</v>
      </c>
      <c r="B19" s="14">
        <f>(B15/2*$B$5*24*$B$7) - (B15*(1+12*$B$6)*A19) - $B$8</f>
        <v/>
      </c>
      <c r="C19" s="14">
        <f>(C15/2*$B$5*24*$B$7) - (C15*(1+12*$B$6)*A19) - $B$8</f>
        <v/>
      </c>
      <c r="D19" s="14">
        <f>(D15/2*$B$5*24*$B$7) - (D15*(1+12*$B$6)*A19) - $B$8</f>
        <v/>
      </c>
      <c r="E19" s="14">
        <f>(E15/2*$B$5*24*$B$7) - (E15*(1+12*$B$6)*A19) - $B$8</f>
        <v/>
      </c>
      <c r="F19" s="14">
        <f>(F15/2*$B$5*24*$B$7) - (F15*(1+12*$B$6)*A19) - $B$8</f>
        <v/>
      </c>
      <c r="G19" s="14">
        <f>(G15/2*$B$5*24*$B$7) - (G15*(1+12*$B$6)*A19) - $B$8</f>
        <v/>
      </c>
      <c r="H19" s="14">
        <f>(H15/2*$B$5*24*$B$7) - (H15*(1+12*$B$6)*A19) - $B$8</f>
        <v/>
      </c>
      <c r="I19" s="14">
        <f>(I15/2*$B$5*24*$B$7) - (I15*(1+12*$B$6)*A19) - $B$8</f>
        <v/>
      </c>
      <c r="J19" s="14">
        <f>(J15/2*$B$5*24*$B$7) - (J15*(1+12*$B$6)*A19) - $B$8</f>
        <v/>
      </c>
    </row>
    <row r="20">
      <c r="A20" s="13" t="n">
        <v>1800</v>
      </c>
      <c r="B20" s="14">
        <f>(B15/2*$B$5*24*$B$7) - (B15*(1+12*$B$6)*A20) - $B$8</f>
        <v/>
      </c>
      <c r="C20" s="14">
        <f>(C15/2*$B$5*24*$B$7) - (C15*(1+12*$B$6)*A20) - $B$8</f>
        <v/>
      </c>
      <c r="D20" s="14">
        <f>(D15/2*$B$5*24*$B$7) - (D15*(1+12*$B$6)*A20) - $B$8</f>
        <v/>
      </c>
      <c r="E20" s="14">
        <f>(E15/2*$B$5*24*$B$7) - (E15*(1+12*$B$6)*A20) - $B$8</f>
        <v/>
      </c>
      <c r="F20" s="14">
        <f>(F15/2*$B$5*24*$B$7) - (F15*(1+12*$B$6)*A20) - $B$8</f>
        <v/>
      </c>
      <c r="G20" s="14">
        <f>(G15/2*$B$5*24*$B$7) - (G15*(1+12*$B$6)*A20) - $B$8</f>
        <v/>
      </c>
      <c r="H20" s="14">
        <f>(H15/2*$B$5*24*$B$7) - (H15*(1+12*$B$6)*A20) - $B$8</f>
        <v/>
      </c>
      <c r="I20" s="14">
        <f>(I15/2*$B$5*24*$B$7) - (I15*(1+12*$B$6)*A20) - $B$8</f>
        <v/>
      </c>
      <c r="J20" s="14">
        <f>(J15/2*$B$5*24*$B$7) - (J15*(1+12*$B$6)*A20) - $B$8</f>
        <v/>
      </c>
    </row>
    <row r="21">
      <c r="A21" s="13" t="n">
        <v>2000</v>
      </c>
      <c r="B21" s="14">
        <f>(B15/2*$B$5*24*$B$7) - (B15*(1+12*$B$6)*A21) - $B$8</f>
        <v/>
      </c>
      <c r="C21" s="14">
        <f>(C15/2*$B$5*24*$B$7) - (C15*(1+12*$B$6)*A21) - $B$8</f>
        <v/>
      </c>
      <c r="D21" s="14">
        <f>(D15/2*$B$5*24*$B$7) - (D15*(1+12*$B$6)*A21) - $B$8</f>
        <v/>
      </c>
      <c r="E21" s="14">
        <f>(E15/2*$B$5*24*$B$7) - (E15*(1+12*$B$6)*A21) - $B$8</f>
        <v/>
      </c>
      <c r="F21" s="14">
        <f>(F15/2*$B$5*24*$B$7) - (F15*(1+12*$B$6)*A21) - $B$8</f>
        <v/>
      </c>
      <c r="G21" s="14">
        <f>(G15/2*$B$5*24*$B$7) - (G15*(1+12*$B$6)*A21) - $B$8</f>
        <v/>
      </c>
      <c r="H21" s="14">
        <f>(H15/2*$B$5*24*$B$7) - (H15*(1+12*$B$6)*A21) - $B$8</f>
        <v/>
      </c>
      <c r="I21" s="14">
        <f>(I15/2*$B$5*24*$B$7) - (I15*(1+12*$B$6)*A21) - $B$8</f>
        <v/>
      </c>
      <c r="J21" s="14">
        <f>(J15/2*$B$5*24*$B$7) - (J15*(1+12*$B$6)*A21) - $B$8</f>
        <v/>
      </c>
    </row>
    <row r="22">
      <c r="A22" s="13" t="n">
        <v>2200</v>
      </c>
      <c r="B22" s="14">
        <f>(B15/2*$B$5*24*$B$7) - (B15*(1+12*$B$6)*A22) - $B$8</f>
        <v/>
      </c>
      <c r="C22" s="14">
        <f>(C15/2*$B$5*24*$B$7) - (C15*(1+12*$B$6)*A22) - $B$8</f>
        <v/>
      </c>
      <c r="D22" s="14">
        <f>(D15/2*$B$5*24*$B$7) - (D15*(1+12*$B$6)*A22) - $B$8</f>
        <v/>
      </c>
      <c r="E22" s="14">
        <f>(E15/2*$B$5*24*$B$7) - (E15*(1+12*$B$6)*A22) - $B$8</f>
        <v/>
      </c>
      <c r="F22" s="14">
        <f>(F15/2*$B$5*24*$B$7) - (F15*(1+12*$B$6)*A22) - $B$8</f>
        <v/>
      </c>
      <c r="G22" s="14">
        <f>(G15/2*$B$5*24*$B$7) - (G15*(1+12*$B$6)*A22) - $B$8</f>
        <v/>
      </c>
      <c r="H22" s="14">
        <f>(H15/2*$B$5*24*$B$7) - (H15*(1+12*$B$6)*A22) - $B$8</f>
        <v/>
      </c>
      <c r="I22" s="14">
        <f>(I15/2*$B$5*24*$B$7) - (I15*(1+12*$B$6)*A22) - $B$8</f>
        <v/>
      </c>
      <c r="J22" s="14">
        <f>(J15/2*$B$5*24*$B$7) - (J15*(1+12*$B$6)*A22) - $B$8</f>
        <v/>
      </c>
    </row>
    <row r="23">
      <c r="A23" s="13" t="n">
        <v>2400</v>
      </c>
      <c r="B23" s="14">
        <f>(B15/2*$B$5*24*$B$7) - (B15*(1+12*$B$6)*A23) - $B$8</f>
        <v/>
      </c>
      <c r="C23" s="14">
        <f>(C15/2*$B$5*24*$B$7) - (C15*(1+12*$B$6)*A23) - $B$8</f>
        <v/>
      </c>
      <c r="D23" s="14">
        <f>(D15/2*$B$5*24*$B$7) - (D15*(1+12*$B$6)*A23) - $B$8</f>
        <v/>
      </c>
      <c r="E23" s="14">
        <f>(E15/2*$B$5*24*$B$7) - (E15*(1+12*$B$6)*A23) - $B$8</f>
        <v/>
      </c>
      <c r="F23" s="14">
        <f>(F15/2*$B$5*24*$B$7) - (F15*(1+12*$B$6)*A23) - $B$8</f>
        <v/>
      </c>
      <c r="G23" s="14">
        <f>(G15/2*$B$5*24*$B$7) - (G15*(1+12*$B$6)*A23) - $B$8</f>
        <v/>
      </c>
      <c r="H23" s="14">
        <f>(H15/2*$B$5*24*$B$7) - (H15*(1+12*$B$6)*A23) - $B$8</f>
        <v/>
      </c>
      <c r="I23" s="14">
        <f>(I15/2*$B$5*24*$B$7) - (I15*(1+12*$B$6)*A23) - $B$8</f>
        <v/>
      </c>
      <c r="J23" s="14">
        <f>(J15/2*$B$5*24*$B$7) - (J15*(1+12*$B$6)*A23) - $B$8</f>
        <v/>
      </c>
    </row>
    <row r="24">
      <c r="A24" s="13" t="n">
        <v>2500</v>
      </c>
      <c r="B24" s="14">
        <f>(B15/2*$B$5*24*$B$7) - (B15*(1+12*$B$6)*A24) - $B$8</f>
        <v/>
      </c>
      <c r="C24" s="14">
        <f>(C15/2*$B$5*24*$B$7) - (C15*(1+12*$B$6)*A24) - $B$8</f>
        <v/>
      </c>
      <c r="D24" s="14">
        <f>(D15/2*$B$5*24*$B$7) - (D15*(1+12*$B$6)*A24) - $B$8</f>
        <v/>
      </c>
      <c r="E24" s="14">
        <f>(E15/2*$B$5*24*$B$7) - (E15*(1+12*$B$6)*A24) - $B$8</f>
        <v/>
      </c>
      <c r="F24" s="14">
        <f>(F15/2*$B$5*24*$B$7) - (F15*(1+12*$B$6)*A24) - $B$8</f>
        <v/>
      </c>
      <c r="G24" s="14">
        <f>(G15/2*$B$5*24*$B$7) - (G15*(1+12*$B$6)*A24) - $B$8</f>
        <v/>
      </c>
      <c r="H24" s="14">
        <f>(H15/2*$B$5*24*$B$7) - (H15*(1+12*$B$6)*A24) - $B$8</f>
        <v/>
      </c>
      <c r="I24" s="14">
        <f>(I15/2*$B$5*24*$B$7) - (I15*(1+12*$B$6)*A24) - $B$8</f>
        <v/>
      </c>
      <c r="J24" s="14">
        <f>(J15/2*$B$5*24*$B$7) - (J15*(1+12*$B$6)*A24) - $B$8</f>
        <v/>
      </c>
    </row>
    <row r="27">
      <c r="A27" s="15" t="inlineStr">
        <is>
          <t>Yorumlar</t>
        </is>
      </c>
    </row>
    <row r="28" ht="22" customHeight="1">
      <c r="A28" s="16" t="inlineStr">
        <is>
          <t>• Bu matris 24 ay kümülatif EBITDA gösterir — RasyoLog yapısının cash bridge ihtiyacı.</t>
        </is>
      </c>
    </row>
    <row r="29" ht="22" customHeight="1">
      <c r="A29" s="16" t="inlineStr">
        <is>
          <t>• Base senaryo (250 müşteri, €1500 CAC): -€775K kümülatif EBITDA → Movetech+Rasyotek toplam €775K cash gap.</t>
        </is>
      </c>
    </row>
    <row r="30" ht="22" customHeight="1">
      <c r="A30" s="16" t="inlineStr">
        <is>
          <t>• Müşteri 300'e çıkarsa + CAC €1000'a düşerse: pozitif EBITDA → bağımsız yatırımcı arayışı yerine self-financing.</t>
        </is>
      </c>
    </row>
    <row r="31" ht="22" customHeight="1">
      <c r="A31" s="16" t="inlineStr">
        <is>
          <t>• Müşteri 100 + CAC €2500 (Bear-like): -€1.5M+ → yapı sürdürülemez, kapanış riski.</t>
        </is>
      </c>
    </row>
    <row r="32" ht="22" customHeight="1">
      <c r="A32" s="16" t="inlineStr">
        <is>
          <t>• Yeşil bant → Bull senaryo (200+ müşteri + CAC &lt; €1400) → 24 ay sonu break-even + kar.</t>
        </is>
      </c>
    </row>
    <row r="33" ht="22" customHeight="1">
      <c r="A33" s="16" t="inlineStr">
        <is>
          <t>• Müzakerede Rasyotek tarafına: 'Pazarlama bütçeniz €350K/yıl ne kadar verimli? CAC %20 azaltma şart.'</t>
        </is>
      </c>
    </row>
  </sheetData>
  <mergeCells count="8">
    <mergeCell ref="A30:L30"/>
    <mergeCell ref="A2:L2"/>
    <mergeCell ref="A29:L29"/>
    <mergeCell ref="A33:L33"/>
    <mergeCell ref="A28:L28"/>
    <mergeCell ref="A1:L1"/>
    <mergeCell ref="A32:L32"/>
    <mergeCell ref="A31:L31"/>
  </mergeCells>
  <conditionalFormatting sqref="B16:J24">
    <cfRule type="colorScale" priority="1">
      <colorScale>
        <cfvo type="num" val="-1500000"/>
        <cfvo type="num" val="-250000"/>
        <cfvo type="num" val="5000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2026-05-24T22:12:09Z</dcterms:created>
  <dcterms:modified xmlns:dcterms="http://purl.org/dc/terms/" xmlns:xsi="http://www.w3.org/2001/XMLSchema-instance" xsi:type="dcterms:W3CDTF">2026-05-24T22:12:09Z</dcterms:modified>
</cp:coreProperties>
</file>